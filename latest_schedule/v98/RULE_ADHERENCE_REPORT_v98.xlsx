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ecks" sheetId="2" state="visible" r:id="rId2"/>
  </sheets>
  <definedNames>
    <definedName name="_xlnm._FilterDatabase" localSheetId="1" hidden="1">'Checks'!$A$1:$I$111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4"/>
    </font>
    <font>
      <name val="Arial"/>
      <i val="1"/>
      <sz val="9"/>
    </font>
    <font>
      <name val="Arial"/>
      <b val="1"/>
    </font>
  </fonts>
  <fills count="9">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
      <patternFill patternType="solid">
        <fgColor rgb="00EDEDED"/>
      </patternFill>
    </fill>
    <fill>
      <patternFill patternType="solid">
        <fgColor rgb="00DDEBF7"/>
      </patternFill>
    </fill>
    <fill>
      <patternFill patternType="solid">
        <fgColor rgb="00FFC7CE"/>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2" fontId="0" fillId="0" borderId="1" pivotButton="0" quotePrefix="0" xfId="0"/>
    <xf numFmtId="0" fontId="5" fillId="0" borderId="0" pivotButton="0" quotePrefix="0" xfId="0"/>
    <xf numFmtId="2" fontId="5" fillId="0" borderId="0" pivotButton="0" quotePrefix="0" xfId="0"/>
    <xf numFmtId="0" fontId="2" fillId="0" borderId="1" applyAlignment="1" pivotButton="0" quotePrefix="0" xfId="0">
      <alignment vertical="top" wrapText="1"/>
    </xf>
    <xf numFmtId="2" fontId="2" fillId="0" borderId="1" pivotButton="0" quotePrefix="0" xfId="0"/>
    <xf numFmtId="0" fontId="2" fillId="3" borderId="1" applyAlignment="1" pivotButton="0" quotePrefix="0" xfId="0">
      <alignment horizontal="center"/>
    </xf>
    <xf numFmtId="0" fontId="2" fillId="4" borderId="1" applyAlignment="1" pivotButton="0" quotePrefix="0" xfId="0">
      <alignment horizontal="center"/>
    </xf>
    <xf numFmtId="0" fontId="2" fillId="5" borderId="1" applyAlignment="1" pivotButton="0" quotePrefix="0" xfId="0">
      <alignment horizontal="center"/>
    </xf>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2" customWidth="1" min="2" max="2"/>
    <col width="9" customWidth="1" min="3" max="3"/>
    <col width="10" customWidth="1" min="4" max="4"/>
    <col width="9" customWidth="1" min="5" max="5"/>
    <col width="18" customWidth="1" min="6" max="6"/>
    <col width="18" customWidth="1" min="7" max="7"/>
    <col width="18" customWidth="1" min="8" max="8"/>
  </cols>
  <sheetData>
    <row r="1">
      <c r="A1" s="1" t="inlineStr">
        <is>
          <t>Rule adherence test report -- schedule v98</t>
        </is>
      </c>
    </row>
    <row r="2">
      <c r="A2" s="2" t="inlineStr">
        <is>
          <t>Adherence % per check = followed / occurrences. PASS &gt;= 99.5 %, PARTIAL 80-99.5 %, FAIL &lt; 80 %. Report-only rows, rules without plant data and not-applicable rules are listed on 'Checks' but not scored.</t>
        </is>
      </c>
    </row>
    <row r="4" ht="45" customHeight="1">
      <c r="A4" s="3" t="inlineStr">
        <is>
          <t>Section</t>
        </is>
      </c>
      <c r="B4" s="3" t="inlineStr">
        <is>
          <t>Checks scored</t>
        </is>
      </c>
      <c r="C4" s="3" t="inlineStr">
        <is>
          <t>PASS</t>
        </is>
      </c>
      <c r="D4" s="3" t="inlineStr">
        <is>
          <t>PARTIAL</t>
        </is>
      </c>
      <c r="E4" s="3" t="inlineStr">
        <is>
          <t>FAIL</t>
        </is>
      </c>
      <c r="F4" s="3" t="inlineStr">
        <is>
          <t>No data / report / not scored</t>
        </is>
      </c>
      <c r="G4" s="3" t="inlineStr">
        <is>
          <t>Average adherence % (per check)</t>
        </is>
      </c>
      <c r="H4" s="3" t="inlineStr">
        <is>
          <t>Occurrence-weighted adherence %</t>
        </is>
      </c>
    </row>
    <row r="5">
      <c r="A5" s="4" t="inlineStr">
        <is>
          <t>Building &amp; curing</t>
        </is>
      </c>
      <c r="B5" s="5">
        <f>COUNTIFS(Checks!$A$2:$A$111,$A5,Checks!$F$2:$F$111,"&lt;&gt;")</f>
        <v/>
      </c>
      <c r="C5" s="5">
        <f>COUNTIFS(Checks!$A$2:$A$111,$A5,Checks!$G$2:$G$111,"PASS")</f>
        <v/>
      </c>
      <c r="D5" s="5">
        <f>COUNTIFS(Checks!$A$2:$A$111,$A5,Checks!$G$2:$G$111,"PARTIAL")</f>
        <v/>
      </c>
      <c r="E5" s="5">
        <f>COUNTIFS(Checks!$A$2:$A$111,$A5,Checks!$G$2:$G$111,"FAIL")</f>
        <v/>
      </c>
      <c r="F5" s="5">
        <f>COUNTIFS(Checks!$A$2:$A$111,$A5)-B5</f>
        <v/>
      </c>
      <c r="G5" s="6">
        <f>IFERROR(AVERAGEIFS(Checks!$F$2:$F$111,Checks!$A$2:$A$111,$A5),"")</f>
        <v/>
      </c>
      <c r="H5" s="6">
        <f>IFERROR(SUMPRODUCT((Checks!$A$2:$A$111=$A5)*(Checks!$F$2:$F$111&lt;&gt;"")*Checks!$E$2:$E$111)/SUMPRODUCT((Checks!$A$2:$A$111=$A5)*(Checks!$F$2:$F$111&lt;&gt;"")*Checks!$D$2:$D$111)*100,"")</f>
        <v/>
      </c>
    </row>
    <row r="6">
      <c r="A6" s="4" t="inlineStr">
        <is>
          <t>Mixing</t>
        </is>
      </c>
      <c r="B6" s="5">
        <f>COUNTIFS(Checks!$A$2:$A$111,$A6,Checks!$F$2:$F$111,"&lt;&gt;")</f>
        <v/>
      </c>
      <c r="C6" s="5">
        <f>COUNTIFS(Checks!$A$2:$A$111,$A6,Checks!$G$2:$G$111,"PASS")</f>
        <v/>
      </c>
      <c r="D6" s="5">
        <f>COUNTIFS(Checks!$A$2:$A$111,$A6,Checks!$G$2:$G$111,"PARTIAL")</f>
        <v/>
      </c>
      <c r="E6" s="5">
        <f>COUNTIFS(Checks!$A$2:$A$111,$A6,Checks!$G$2:$G$111,"FAIL")</f>
        <v/>
      </c>
      <c r="F6" s="5">
        <f>COUNTIFS(Checks!$A$2:$A$111,$A6)-B6</f>
        <v/>
      </c>
      <c r="G6" s="6">
        <f>IFERROR(AVERAGEIFS(Checks!$F$2:$F$111,Checks!$A$2:$A$111,$A6),"")</f>
        <v/>
      </c>
      <c r="H6" s="6">
        <f>IFERROR(SUMPRODUCT((Checks!$A$2:$A$111=$A6)*(Checks!$F$2:$F$111&lt;&gt;"")*Checks!$E$2:$E$111)/SUMPRODUCT((Checks!$A$2:$A$111=$A6)*(Checks!$F$2:$F$111&lt;&gt;"")*Checks!$D$2:$D$111)*100,"")</f>
        <v/>
      </c>
    </row>
    <row r="7">
      <c r="A7" s="4" t="inlineStr">
        <is>
          <t>Mixing (rules 01-Oct + v47)</t>
        </is>
      </c>
      <c r="B7" s="5">
        <f>COUNTIFS(Checks!$A$2:$A$111,$A7,Checks!$F$2:$F$111,"&lt;&gt;")</f>
        <v/>
      </c>
      <c r="C7" s="5">
        <f>COUNTIFS(Checks!$A$2:$A$111,$A7,Checks!$G$2:$G$111,"PASS")</f>
        <v/>
      </c>
      <c r="D7" s="5">
        <f>COUNTIFS(Checks!$A$2:$A$111,$A7,Checks!$G$2:$G$111,"PARTIAL")</f>
        <v/>
      </c>
      <c r="E7" s="5">
        <f>COUNTIFS(Checks!$A$2:$A$111,$A7,Checks!$G$2:$G$111,"FAIL")</f>
        <v/>
      </c>
      <c r="F7" s="5">
        <f>COUNTIFS(Checks!$A$2:$A$111,$A7)-B7</f>
        <v/>
      </c>
      <c r="G7" s="6">
        <f>IFERROR(AVERAGEIFS(Checks!$F$2:$F$111,Checks!$A$2:$A$111,$A7),"")</f>
        <v/>
      </c>
      <c r="H7" s="6">
        <f>IFERROR(SUMPRODUCT((Checks!$A$2:$A$111=$A7)*(Checks!$F$2:$F$111&lt;&gt;"")*Checks!$E$2:$E$111)/SUMPRODUCT((Checks!$A$2:$A$111=$A7)*(Checks!$F$2:$F$111&lt;&gt;"")*Checks!$D$2:$D$111)*100,"")</f>
        <v/>
      </c>
    </row>
    <row r="8">
      <c r="A8" s="4" t="inlineStr">
        <is>
          <t>MPQ</t>
        </is>
      </c>
      <c r="B8" s="5">
        <f>COUNTIFS(Checks!$A$2:$A$111,$A8,Checks!$F$2:$F$111,"&lt;&gt;")</f>
        <v/>
      </c>
      <c r="C8" s="5">
        <f>COUNTIFS(Checks!$A$2:$A$111,$A8,Checks!$G$2:$G$111,"PASS")</f>
        <v/>
      </c>
      <c r="D8" s="5">
        <f>COUNTIFS(Checks!$A$2:$A$111,$A8,Checks!$G$2:$G$111,"PARTIAL")</f>
        <v/>
      </c>
      <c r="E8" s="5">
        <f>COUNTIFS(Checks!$A$2:$A$111,$A8,Checks!$G$2:$G$111,"FAIL")</f>
        <v/>
      </c>
      <c r="F8" s="5">
        <f>COUNTIFS(Checks!$A$2:$A$111,$A8)-B8</f>
        <v/>
      </c>
      <c r="G8" s="6">
        <f>IFERROR(AVERAGEIFS(Checks!$F$2:$F$111,Checks!$A$2:$A$111,$A8),"")</f>
        <v/>
      </c>
      <c r="H8" s="6">
        <f>IFERROR(SUMPRODUCT((Checks!$A$2:$A$111=$A8)*(Checks!$F$2:$F$111&lt;&gt;"")*Checks!$E$2:$E$111)/SUMPRODUCT((Checks!$A$2:$A$111=$A8)*(Checks!$F$2:$F$111&lt;&gt;"")*Checks!$D$2:$D$111)*100,"")</f>
        <v/>
      </c>
    </row>
    <row r="9">
      <c r="A9" s="4" t="inlineStr">
        <is>
          <t>4-roll calender (901)</t>
        </is>
      </c>
      <c r="B9" s="5">
        <f>COUNTIFS(Checks!$A$2:$A$111,$A9,Checks!$F$2:$F$111,"&lt;&gt;")</f>
        <v/>
      </c>
      <c r="C9" s="5">
        <f>COUNTIFS(Checks!$A$2:$A$111,$A9,Checks!$G$2:$G$111,"PASS")</f>
        <v/>
      </c>
      <c r="D9" s="5">
        <f>COUNTIFS(Checks!$A$2:$A$111,$A9,Checks!$G$2:$G$111,"PARTIAL")</f>
        <v/>
      </c>
      <c r="E9" s="5">
        <f>COUNTIFS(Checks!$A$2:$A$111,$A9,Checks!$G$2:$G$111,"FAIL")</f>
        <v/>
      </c>
      <c r="F9" s="5">
        <f>COUNTIFS(Checks!$A$2:$A$111,$A9)-B9</f>
        <v/>
      </c>
      <c r="G9" s="6">
        <f>IFERROR(AVERAGEIFS(Checks!$F$2:$F$111,Checks!$A$2:$A$111,$A9),"")</f>
        <v/>
      </c>
      <c r="H9" s="6">
        <f>IFERROR(SUMPRODUCT((Checks!$A$2:$A$111=$A9)*(Checks!$F$2:$F$111&lt;&gt;"")*Checks!$E$2:$E$111)/SUMPRODUCT((Checks!$A$2:$A$111=$A9)*(Checks!$F$2:$F$111&lt;&gt;"")*Checks!$D$2:$D$111)*100,"")</f>
        <v/>
      </c>
    </row>
    <row r="10">
      <c r="A10" s="4" t="inlineStr">
        <is>
          <t>Extrusion - Quintoplex (1002)</t>
        </is>
      </c>
      <c r="B10" s="5">
        <f>COUNTIFS(Checks!$A$2:$A$111,$A10,Checks!$F$2:$F$111,"&lt;&gt;")</f>
        <v/>
      </c>
      <c r="C10" s="5">
        <f>COUNTIFS(Checks!$A$2:$A$111,$A10,Checks!$G$2:$G$111,"PASS")</f>
        <v/>
      </c>
      <c r="D10" s="5">
        <f>COUNTIFS(Checks!$A$2:$A$111,$A10,Checks!$G$2:$G$111,"PARTIAL")</f>
        <v/>
      </c>
      <c r="E10" s="5">
        <f>COUNTIFS(Checks!$A$2:$A$111,$A10,Checks!$G$2:$G$111,"FAIL")</f>
        <v/>
      </c>
      <c r="F10" s="5">
        <f>COUNTIFS(Checks!$A$2:$A$111,$A10)-B10</f>
        <v/>
      </c>
      <c r="G10" s="6">
        <f>IFERROR(AVERAGEIFS(Checks!$F$2:$F$111,Checks!$A$2:$A$111,$A10),"")</f>
        <v/>
      </c>
      <c r="H10" s="6">
        <f>IFERROR(SUMPRODUCT((Checks!$A$2:$A$111=$A10)*(Checks!$F$2:$F$111&lt;&gt;"")*Checks!$E$2:$E$111)/SUMPRODUCT((Checks!$A$2:$A$111=$A10)*(Checks!$F$2:$F$111&lt;&gt;"")*Checks!$D$2:$D$111)*100,"")</f>
        <v/>
      </c>
    </row>
    <row r="11">
      <c r="A11" s="4" t="inlineStr">
        <is>
          <t>Extrusion - Duplex (1801)</t>
        </is>
      </c>
      <c r="B11" s="5">
        <f>COUNTIFS(Checks!$A$2:$A$111,$A11,Checks!$F$2:$F$111,"&lt;&gt;")</f>
        <v/>
      </c>
      <c r="C11" s="5">
        <f>COUNTIFS(Checks!$A$2:$A$111,$A11,Checks!$G$2:$G$111,"PASS")</f>
        <v/>
      </c>
      <c r="D11" s="5">
        <f>COUNTIFS(Checks!$A$2:$A$111,$A11,Checks!$G$2:$G$111,"PARTIAL")</f>
        <v/>
      </c>
      <c r="E11" s="5">
        <f>COUNTIFS(Checks!$A$2:$A$111,$A11,Checks!$G$2:$G$111,"FAIL")</f>
        <v/>
      </c>
      <c r="F11" s="5">
        <f>COUNTIFS(Checks!$A$2:$A$111,$A11)-B11</f>
        <v/>
      </c>
      <c r="G11" s="6">
        <f>IFERROR(AVERAGEIFS(Checks!$F$2:$F$111,Checks!$A$2:$A$111,$A11),"")</f>
        <v/>
      </c>
      <c r="H11" s="6">
        <f>IFERROR(SUMPRODUCT((Checks!$A$2:$A$111=$A11)*(Checks!$F$2:$F$111&lt;&gt;"")*Checks!$E$2:$E$111)/SUMPRODUCT((Checks!$A$2:$A$111=$A11)*(Checks!$F$2:$F$111&lt;&gt;"")*Checks!$D$2:$D$111)*100,"")</f>
        <v/>
      </c>
    </row>
    <row r="12">
      <c r="A12" s="4" t="inlineStr">
        <is>
          <t>Extrusion - Triplex (1001)</t>
        </is>
      </c>
      <c r="B12" s="5">
        <f>COUNTIFS(Checks!$A$2:$A$111,$A12,Checks!$F$2:$F$111,"&lt;&gt;")</f>
        <v/>
      </c>
      <c r="C12" s="5">
        <f>COUNTIFS(Checks!$A$2:$A$111,$A12,Checks!$G$2:$G$111,"PASS")</f>
        <v/>
      </c>
      <c r="D12" s="5">
        <f>COUNTIFS(Checks!$A$2:$A$111,$A12,Checks!$G$2:$G$111,"PARTIAL")</f>
        <v/>
      </c>
      <c r="E12" s="5">
        <f>COUNTIFS(Checks!$A$2:$A$111,$A12,Checks!$G$2:$G$111,"FAIL")</f>
        <v/>
      </c>
      <c r="F12" s="5">
        <f>COUNTIFS(Checks!$A$2:$A$111,$A12)-B12</f>
        <v/>
      </c>
      <c r="G12" s="6">
        <f>IFERROR(AVERAGEIFS(Checks!$F$2:$F$111,Checks!$A$2:$A$111,$A12),"")</f>
        <v/>
      </c>
      <c r="H12" s="6">
        <f>IFERROR(SUMPRODUCT((Checks!$A$2:$A$111=$A12)*(Checks!$F$2:$F$111&lt;&gt;"")*Checks!$E$2:$E$111)/SUMPRODUCT((Checks!$A$2:$A$111=$A12)*(Checks!$F$2:$F$111&lt;&gt;"")*Checks!$D$2:$D$111)*100,"")</f>
        <v/>
      </c>
    </row>
    <row r="13">
      <c r="A13" s="4" t="inlineStr">
        <is>
          <t>Extrusion - Quadraplex (1803)</t>
        </is>
      </c>
      <c r="B13" s="5">
        <f>COUNTIFS(Checks!$A$2:$A$111,$A13,Checks!$F$2:$F$111,"&lt;&gt;")</f>
        <v/>
      </c>
      <c r="C13" s="5">
        <f>COUNTIFS(Checks!$A$2:$A$111,$A13,Checks!$G$2:$G$111,"PASS")</f>
        <v/>
      </c>
      <c r="D13" s="5">
        <f>COUNTIFS(Checks!$A$2:$A$111,$A13,Checks!$G$2:$G$111,"PARTIAL")</f>
        <v/>
      </c>
      <c r="E13" s="5">
        <f>COUNTIFS(Checks!$A$2:$A$111,$A13,Checks!$G$2:$G$111,"FAIL")</f>
        <v/>
      </c>
      <c r="F13" s="5">
        <f>COUNTIFS(Checks!$A$2:$A$111,$A13)-B13</f>
        <v/>
      </c>
      <c r="G13" s="6">
        <f>IFERROR(AVERAGEIFS(Checks!$F$2:$F$111,Checks!$A$2:$A$111,$A13),"")</f>
        <v/>
      </c>
      <c r="H13" s="6">
        <f>IFERROR(SUMPRODUCT((Checks!$A$2:$A$111=$A13)*(Checks!$F$2:$F$111&lt;&gt;"")*Checks!$E$2:$E$111)/SUMPRODUCT((Checks!$A$2:$A$111=$A13)*(Checks!$F$2:$F$111&lt;&gt;"")*Checks!$D$2:$D$111)*100,"")</f>
        <v/>
      </c>
    </row>
    <row r="14">
      <c r="A14" s="4" t="inlineStr">
        <is>
          <t>General rules</t>
        </is>
      </c>
      <c r="B14" s="5">
        <f>COUNTIFS(Checks!$A$2:$A$111,$A14,Checks!$F$2:$F$111,"&lt;&gt;")</f>
        <v/>
      </c>
      <c r="C14" s="5">
        <f>COUNTIFS(Checks!$A$2:$A$111,$A14,Checks!$G$2:$G$111,"PASS")</f>
        <v/>
      </c>
      <c r="D14" s="5">
        <f>COUNTIFS(Checks!$A$2:$A$111,$A14,Checks!$G$2:$G$111,"PARTIAL")</f>
        <v/>
      </c>
      <c r="E14" s="5">
        <f>COUNTIFS(Checks!$A$2:$A$111,$A14,Checks!$G$2:$G$111,"FAIL")</f>
        <v/>
      </c>
      <c r="F14" s="5">
        <f>COUNTIFS(Checks!$A$2:$A$111,$A14)-B14</f>
        <v/>
      </c>
      <c r="G14" s="6">
        <f>IFERROR(AVERAGEIFS(Checks!$F$2:$F$111,Checks!$A$2:$A$111,$A14),"")</f>
        <v/>
      </c>
      <c r="H14" s="6">
        <f>IFERROR(SUMPRODUCT((Checks!$A$2:$A$111=$A14)*(Checks!$F$2:$F$111&lt;&gt;"")*Checks!$E$2:$E$111)/SUMPRODUCT((Checks!$A$2:$A$111=$A14)*(Checks!$F$2:$F$111&lt;&gt;"")*Checks!$D$2:$D$111)*100,"")</f>
        <v/>
      </c>
    </row>
    <row r="15">
      <c r="A15" s="4" t="inlineStr">
        <is>
          <t>IL / calendering</t>
        </is>
      </c>
      <c r="B15" s="5">
        <f>COUNTIFS(Checks!$A$2:$A$111,$A15,Checks!$F$2:$F$111,"&lt;&gt;")</f>
        <v/>
      </c>
      <c r="C15" s="5">
        <f>COUNTIFS(Checks!$A$2:$A$111,$A15,Checks!$G$2:$G$111,"PASS")</f>
        <v/>
      </c>
      <c r="D15" s="5">
        <f>COUNTIFS(Checks!$A$2:$A$111,$A15,Checks!$G$2:$G$111,"PARTIAL")</f>
        <v/>
      </c>
      <c r="E15" s="5">
        <f>COUNTIFS(Checks!$A$2:$A$111,$A15,Checks!$G$2:$G$111,"FAIL")</f>
        <v/>
      </c>
      <c r="F15" s="5">
        <f>COUNTIFS(Checks!$A$2:$A$111,$A15)-B15</f>
        <v/>
      </c>
      <c r="G15" s="6">
        <f>IFERROR(AVERAGEIFS(Checks!$F$2:$F$111,Checks!$A$2:$A$111,$A15),"")</f>
        <v/>
      </c>
      <c r="H15" s="6">
        <f>IFERROR(SUMPRODUCT((Checks!$A$2:$A$111=$A15)*(Checks!$F$2:$F$111&lt;&gt;"")*Checks!$E$2:$E$111)/SUMPRODUCT((Checks!$A$2:$A$111=$A15)*(Checks!$F$2:$F$111&lt;&gt;"")*Checks!$D$2:$D$111)*100,"")</f>
        <v/>
      </c>
    </row>
    <row r="16">
      <c r="A16" s="7" t="inlineStr">
        <is>
          <t>ALL RULES</t>
        </is>
      </c>
      <c r="B16" s="7">
        <f>SUM(B5:B15)</f>
        <v/>
      </c>
      <c r="C16" s="7">
        <f>SUM(C5:C15)</f>
        <v/>
      </c>
      <c r="D16" s="7">
        <f>SUM(D5:D15)</f>
        <v/>
      </c>
      <c r="E16" s="7">
        <f>SUM(E5:E15)</f>
        <v/>
      </c>
      <c r="F16" s="7">
        <f>SUM(F5:F15)</f>
        <v/>
      </c>
      <c r="G16" s="8">
        <f>AVERAGE(Checks!$F$2:$F$111)</f>
        <v/>
      </c>
      <c r="H16" s="8">
        <f>SUMPRODUCT((Checks!$F$2:$F$111&lt;&gt;"")*Checks!$E$2:$E$111)/SUMPRODUCT((Checks!$F$2:$F$111&lt;&gt;"")*Checks!$D$2:$D$111)*100</f>
        <v/>
      </c>
    </row>
    <row r="18">
      <c r="A18" s="2" t="inlineStr">
        <is>
          <t>Source data: live JK_CTP_PPDS / jkplanning_CTP tables of the run (see README_v98.md); check workbooks *_v98.xlsx in the same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52" customWidth="1" min="3" max="3"/>
    <col width="12" customWidth="1" min="4" max="4"/>
    <col width="11" customWidth="1" min="5" max="5"/>
    <col width="12" customWidth="1" min="6" max="6"/>
    <col width="12" customWidth="1" min="7" max="7"/>
    <col width="48" customWidth="1" min="8" max="8"/>
    <col width="46" customWidth="1" min="9" max="9"/>
  </cols>
  <sheetData>
    <row r="1">
      <c r="A1" s="3" t="inlineStr">
        <is>
          <t>section</t>
        </is>
      </c>
      <c r="B1" s="3" t="inlineStr">
        <is>
          <t>rule</t>
        </is>
      </c>
      <c r="C1" s="3" t="inlineStr">
        <is>
          <t>test</t>
        </is>
      </c>
      <c r="D1" s="3" t="inlineStr">
        <is>
          <t>occurrences</t>
        </is>
      </c>
      <c r="E1" s="3" t="inlineStr">
        <is>
          <t>followed</t>
        </is>
      </c>
      <c r="F1" s="3" t="inlineStr">
        <is>
          <t>adherence %</t>
        </is>
      </c>
      <c r="G1" s="3" t="inlineStr">
        <is>
          <t>status</t>
        </is>
      </c>
      <c r="H1" s="3" t="inlineStr">
        <is>
          <t>note</t>
        </is>
      </c>
      <c r="I1" s="3" t="inlineStr">
        <is>
          <t>source tables</t>
        </is>
      </c>
    </row>
    <row r="2">
      <c r="A2" s="4" t="inlineStr">
        <is>
          <t>Building &amp; curing</t>
        </is>
      </c>
      <c r="B2" s="4" t="inlineStr">
        <is>
          <t>B1 building eligibility</t>
        </is>
      </c>
      <c r="C2" s="9" t="inlineStr">
        <is>
          <t>build row on a TBM its GT is routed to</t>
        </is>
      </c>
      <c r="D2" s="4" t="n">
        <v>1395</v>
      </c>
      <c r="E2" s="4" t="n">
        <v>1378</v>
      </c>
      <c r="F2" s="10" t="n">
        <v>98.78</v>
      </c>
      <c r="G2" s="11" t="inlineStr">
        <is>
          <t>PARTIAL</t>
        </is>
      </c>
      <c r="H2" s="9" t="inlineStr">
        <is>
          <t>0 rows whose GT has no GT BUILDING routing; 7 rows whose GT differs from the routing GT of the SKU</t>
        </is>
      </c>
      <c r="I2" s="9" t="inlineStr">
        <is>
          <t>JK_CTP_PPDS.CTP_Master_Routing; JK_CTP_PPDS.CTP_Master_ChangeoverMatrix; plan files (latest_plan_file)</t>
        </is>
      </c>
    </row>
    <row r="3">
      <c r="A3" s="4" t="inlineStr">
        <is>
          <t>Building &amp; curing</t>
        </is>
      </c>
      <c r="B3" s="4" t="inlineStr">
        <is>
          <t>B2 building capacity</t>
        </is>
      </c>
      <c r="C3" s="9" t="inlineStr">
        <is>
          <t>TBM-day: build + changeovers x different-size time &lt;= available (PCR at BJ 60, TBR 24)</t>
        </is>
      </c>
      <c r="D3" s="4" t="n">
        <v>249</v>
      </c>
      <c r="E3" s="4" t="n">
        <v>249</v>
      </c>
      <c r="F3" s="10" t="n">
        <v>100</v>
      </c>
      <c r="G3" s="12" t="inlineStr">
        <is>
          <t>PASS</t>
        </is>
      </c>
      <c r="H3" s="9" t="inlineStr"/>
      <c r="I3" s="9" t="inlineStr">
        <is>
          <t>JK_CTP_PPDS.CTP_Master_Routing; JK_CTP_PPDS.CTP_Master_ChangeoverMatrix; plan files (latest_plan_file)</t>
        </is>
      </c>
    </row>
    <row r="4">
      <c r="A4" s="4" t="inlineStr">
        <is>
          <t>Building &amp; curing</t>
        </is>
      </c>
      <c r="B4" s="4" t="inlineStr">
        <is>
          <t>B2 building capacity</t>
        </is>
      </c>
      <c r="C4" s="9" t="inlineStr">
        <is>
          <t>PCR TBM-day at CONTI 42 min</t>
        </is>
      </c>
      <c r="D4" s="4" t="n">
        <v>141</v>
      </c>
      <c r="E4" s="4" t="n">
        <v>141</v>
      </c>
      <c r="F4" s="10" t="n">
        <v>100</v>
      </c>
      <c r="G4" s="12" t="inlineStr">
        <is>
          <t>PASS</t>
        </is>
      </c>
      <c r="H4" s="9" t="inlineStr"/>
      <c r="I4" s="9" t="inlineStr">
        <is>
          <t>JK_CTP_PPDS.CTP_Master_Routing; JK_CTP_PPDS.CTP_Master_ChangeoverMatrix; plan files (latest_plan_file)</t>
        </is>
      </c>
    </row>
    <row r="5">
      <c r="A5" s="4" t="inlineStr">
        <is>
          <t>Building &amp; curing</t>
        </is>
      </c>
      <c r="B5" s="4" t="inlineStr">
        <is>
          <t>B2 building capacity</t>
        </is>
      </c>
      <c r="C5" s="9" t="inlineStr">
        <is>
          <t>lot run time = qty x routing cycle / efficiency (+-1 min)</t>
        </is>
      </c>
      <c r="D5" s="4" t="n">
        <v>855</v>
      </c>
      <c r="E5" s="4" t="n">
        <v>855</v>
      </c>
      <c r="F5" s="10" t="n">
        <v>100</v>
      </c>
      <c r="G5" s="12" t="inlineStr">
        <is>
          <t>PASS</t>
        </is>
      </c>
      <c r="H5" s="9" t="inlineStr"/>
      <c r="I5" s="9" t="inlineStr">
        <is>
          <t>JK_CTP_PPDS.CTP_Master_Routing; JK_CTP_PPDS.CTP_Master_ChangeoverMatrix; plan files (latest_plan_file)</t>
        </is>
      </c>
    </row>
    <row r="6">
      <c r="A6" s="4" t="inlineStr">
        <is>
          <t>Building &amp; curing</t>
        </is>
      </c>
      <c r="B6" s="4" t="inlineStr">
        <is>
          <t>B2 building capacity</t>
        </is>
      </c>
      <c r="C6" s="9" t="inlineStr">
        <is>
          <t>changeover: gap before the new GT &gt;= different-size time (BJ for PCR)</t>
        </is>
      </c>
      <c r="D6" s="4" t="n">
        <v>358</v>
      </c>
      <c r="E6" s="4" t="n">
        <v>358</v>
      </c>
      <c r="F6" s="10" t="n">
        <v>100</v>
      </c>
      <c r="G6" s="12" t="inlineStr">
        <is>
          <t>PASS</t>
        </is>
      </c>
      <c r="H6" s="9" t="inlineStr"/>
      <c r="I6" s="9" t="inlineStr">
        <is>
          <t>JK_CTP_PPDS.CTP_Master_Routing; JK_CTP_PPDS.CTP_Master_ChangeoverMatrix; plan files (latest_plan_file)</t>
        </is>
      </c>
    </row>
    <row r="7">
      <c r="A7" s="4" t="inlineStr">
        <is>
          <t>Building &amp; curing</t>
        </is>
      </c>
      <c r="B7" s="4" t="inlineStr">
        <is>
          <t>B2 building capacity</t>
        </is>
      </c>
      <c r="C7" s="9" t="inlineStr">
        <is>
          <t>changeover: gap before the new GT &gt;= different-size time (CONTI for PCR)</t>
        </is>
      </c>
      <c r="D7" s="4" t="n">
        <v>358</v>
      </c>
      <c r="E7" s="4" t="n">
        <v>358</v>
      </c>
      <c r="F7" s="10" t="n">
        <v>100</v>
      </c>
      <c r="G7" s="12" t="inlineStr">
        <is>
          <t>PASS</t>
        </is>
      </c>
      <c r="H7" s="9" t="inlineStr"/>
      <c r="I7" s="9" t="inlineStr">
        <is>
          <t>JK_CTP_PPDS.CTP_Master_Routing; JK_CTP_PPDS.CTP_Master_ChangeoverMatrix; plan files (latest_plan_file)</t>
        </is>
      </c>
    </row>
    <row r="8">
      <c r="A8" s="4" t="inlineStr">
        <is>
          <t>Building &amp; curing</t>
        </is>
      </c>
      <c r="B8" s="4" t="inlineStr">
        <is>
          <t>C1 curing eligibility</t>
        </is>
      </c>
      <c r="C8" s="9" t="inlineStr">
        <is>
          <t>cure block on a press allowed by the routing</t>
        </is>
      </c>
      <c r="D8" s="4" t="n">
        <v>4903</v>
      </c>
      <c r="E8" s="4" t="n">
        <v>4873</v>
      </c>
      <c r="F8" s="10" t="n">
        <v>99.39</v>
      </c>
      <c r="G8" s="11" t="inlineStr">
        <is>
          <t>PARTIAL</t>
        </is>
      </c>
      <c r="H8" s="9" t="inlineStr">
        <is>
          <t>30 blocks whose SKU has no CURING routing</t>
        </is>
      </c>
      <c r="I8" s="9" t="inlineStr">
        <is>
          <t>JK_CTP_PPDS.CTP_Master_Routing; JK_CTP_PPDS.CTP_Master_ChangeoverMatrix; plan files (latest_plan_file)</t>
        </is>
      </c>
    </row>
    <row r="9">
      <c r="A9" s="4" t="inlineStr">
        <is>
          <t>Building &amp; curing</t>
        </is>
      </c>
      <c r="B9" s="4" t="inlineStr">
        <is>
          <t>C2 curing capacity</t>
        </is>
      </c>
      <c r="C9" s="9" t="inlineStr">
        <is>
          <t>line-day: cure minutes (q_shift rate) &lt;= presses x available</t>
        </is>
      </c>
      <c r="D9" s="4" t="n">
        <v>28</v>
      </c>
      <c r="E9" s="4" t="n">
        <v>28</v>
      </c>
      <c r="F9" s="10" t="n">
        <v>100</v>
      </c>
      <c r="G9" s="12" t="inlineStr">
        <is>
          <t>PASS</t>
        </is>
      </c>
      <c r="H9" s="9" t="inlineStr"/>
      <c r="I9" s="9" t="inlineStr">
        <is>
          <t>JK_CTP_PPDS.CTP_Master_Routing; JK_CTP_PPDS.CTP_Master_ChangeoverMatrix; plan files (latest_plan_file)</t>
        </is>
      </c>
    </row>
    <row r="10">
      <c r="A10" s="4" t="inlineStr">
        <is>
          <t>Building &amp; curing</t>
        </is>
      </c>
      <c r="B10" s="4" t="inlineStr">
        <is>
          <t>C2 curing capacity</t>
        </is>
      </c>
      <c r="C10" s="9" t="inlineStr">
        <is>
          <t>press-day: cure minutes (q_shift rate) &lt;= available</t>
        </is>
      </c>
      <c r="D10" s="4" t="n">
        <v>2065</v>
      </c>
      <c r="E10" s="4" t="n">
        <v>2065</v>
      </c>
      <c r="F10" s="10" t="n">
        <v>100</v>
      </c>
      <c r="G10" s="12" t="inlineStr">
        <is>
          <t>PASS</t>
        </is>
      </c>
      <c r="H10" s="9" t="inlineStr"/>
      <c r="I10" s="9" t="inlineStr">
        <is>
          <t>JK_CTP_PPDS.CTP_Master_Routing; JK_CTP_PPDS.CTP_Master_ChangeoverMatrix; plan files (latest_plan_file)</t>
        </is>
      </c>
    </row>
    <row r="11">
      <c r="A11" s="4" t="inlineStr">
        <is>
          <t>Building &amp; curing</t>
        </is>
      </c>
      <c r="B11" s="4" t="inlineStr">
        <is>
          <t>C2 curing capacity</t>
        </is>
      </c>
      <c r="C11" s="9" t="inlineStr">
        <is>
          <t>cure block qty &lt;= q_shift (tyres a press cures in a shift)</t>
        </is>
      </c>
      <c r="D11" s="4" t="n">
        <v>4903</v>
      </c>
      <c r="E11" s="4" t="n">
        <v>4903</v>
      </c>
      <c r="F11" s="10" t="n">
        <v>100</v>
      </c>
      <c r="G11" s="12" t="inlineStr">
        <is>
          <t>PASS</t>
        </is>
      </c>
      <c r="H11" s="9" t="inlineStr"/>
      <c r="I11" s="9" t="inlineStr">
        <is>
          <t>JK_CTP_PPDS.CTP_Master_Routing; JK_CTP_PPDS.CTP_Master_ChangeoverMatrix; plan files (latest_plan_file)</t>
        </is>
      </c>
    </row>
    <row r="12">
      <c r="A12" s="4" t="inlineStr">
        <is>
          <t>Building &amp; curing</t>
        </is>
      </c>
      <c r="B12" s="4" t="inlineStr">
        <is>
          <t>C2 curing capacity</t>
        </is>
      </c>
      <c r="C12" s="9" t="inlineStr">
        <is>
          <t>cure block: schedule cycleTime = routing cure time</t>
        </is>
      </c>
      <c r="D12" s="4" t="n">
        <v>4825</v>
      </c>
      <c r="E12" s="4" t="n">
        <v>4825</v>
      </c>
      <c r="F12" s="10" t="n">
        <v>100</v>
      </c>
      <c r="G12" s="12" t="inlineStr">
        <is>
          <t>PASS</t>
        </is>
      </c>
      <c r="H12" s="9" t="inlineStr">
        <is>
          <t>info</t>
        </is>
      </c>
      <c r="I12" s="9" t="inlineStr">
        <is>
          <t>JK_CTP_PPDS.CTP_Master_Routing; JK_CTP_PPDS.CTP_Master_ChangeoverMatrix; plan files (latest_plan_file)</t>
        </is>
      </c>
    </row>
    <row r="13">
      <c r="A13" s="4" t="inlineStr">
        <is>
          <t>Building &amp; curing</t>
        </is>
      </c>
      <c r="B13" s="4" t="inlineStr">
        <is>
          <t>C2 curing capacity</t>
        </is>
      </c>
      <c r="C13" s="9" t="inlineStr">
        <is>
          <t>press blocks do not overlap</t>
        </is>
      </c>
      <c r="D13" s="4" t="n">
        <v>4903</v>
      </c>
      <c r="E13" s="4" t="n">
        <v>4903</v>
      </c>
      <c r="F13" s="10" t="n">
        <v>100</v>
      </c>
      <c r="G13" s="12" t="inlineStr">
        <is>
          <t>PASS</t>
        </is>
      </c>
      <c r="H13" s="9" t="inlineStr"/>
      <c r="I13" s="9" t="inlineStr">
        <is>
          <t>JK_CTP_PPDS.CTP_Master_Routing; JK_CTP_PPDS.CTP_Master_ChangeoverMatrix; plan files (latest_plan_file)</t>
        </is>
      </c>
    </row>
    <row r="14">
      <c r="A14" s="4" t="inlineStr">
        <is>
          <t>Mixing</t>
        </is>
      </c>
      <c r="B14" s="4" t="inlineStr">
        <is>
          <t>BR-V1</t>
        </is>
      </c>
      <c r="C14" s="9" t="inlineStr">
        <is>
          <t>mixer shift row in whole batches</t>
        </is>
      </c>
      <c r="D14" s="4" t="n">
        <v>567</v>
      </c>
      <c r="E14" s="4" t="n">
        <v>567</v>
      </c>
      <c r="F14" s="10" t="n">
        <v>100</v>
      </c>
      <c r="G14" s="12" t="inlineStr">
        <is>
          <t>PASS</t>
        </is>
      </c>
      <c r="H14" s="9" t="inlineStr"/>
      <c r="I14" s="9" t="inlineStr">
        <is>
          <t>JK_CTP_PPDS.CTP_Master_Routing; JK_CTP_PPDS.CTP_Master_BOM</t>
        </is>
      </c>
    </row>
    <row r="15">
      <c r="A15" s="4" t="inlineStr">
        <is>
          <t>Mixing</t>
        </is>
      </c>
      <c r="B15" s="4" t="inlineStr">
        <is>
          <t>BRM-01</t>
        </is>
      </c>
      <c r="C15" s="9" t="inlineStr">
        <is>
          <t>mixing lot &gt;= 5 batches (MPQ)</t>
        </is>
      </c>
      <c r="D15" s="4" t="n">
        <v>545</v>
      </c>
      <c r="E15" s="4" t="n">
        <v>545</v>
      </c>
      <c r="F15" s="10" t="n">
        <v>100</v>
      </c>
      <c r="G15" s="12" t="inlineStr">
        <is>
          <t>PASS</t>
        </is>
      </c>
      <c r="H15" s="9" t="inlineStr"/>
      <c r="I15" s="9" t="inlineStr">
        <is>
          <t>JK_CTP_PPDS.CTP_Master_Routing; JK_CTP_PPDS.CTP_Master_BOM</t>
        </is>
      </c>
    </row>
    <row r="16">
      <c r="A16" s="4" t="inlineStr">
        <is>
          <t>Mixing</t>
        </is>
      </c>
      <c r="B16" s="4" t="inlineStr">
        <is>
          <t>BRM-02</t>
        </is>
      </c>
      <c r="C16" s="9" t="inlineStr">
        <is>
          <t>sticky lot in stacks of 3 batches</t>
        </is>
      </c>
      <c r="D16" s="4" t="n">
        <v>22</v>
      </c>
      <c r="E16" s="4" t="n">
        <v>22</v>
      </c>
      <c r="F16" s="10" t="n">
        <v>100</v>
      </c>
      <c r="G16" s="12" t="inlineStr">
        <is>
          <t>PASS</t>
        </is>
      </c>
      <c r="H16" s="9" t="inlineStr"/>
      <c r="I16" s="9" t="inlineStr">
        <is>
          <t>JK_CTP_PPDS.CTP_Master_Routing; JK_CTP_PPDS.CTP_Master_BOM</t>
        </is>
      </c>
    </row>
    <row r="17">
      <c r="A17" s="4" t="inlineStr">
        <is>
          <t>Mixing</t>
        </is>
      </c>
      <c r="B17" s="4" t="inlineStr">
        <is>
          <t>BRM-10</t>
        </is>
      </c>
      <c r="C17" s="9" t="inlineStr">
        <is>
          <t>compound change on a mixer, gap &gt;= 1 min</t>
        </is>
      </c>
      <c r="D17" s="4" t="n">
        <v>475</v>
      </c>
      <c r="E17" s="4" t="n">
        <v>475</v>
      </c>
      <c r="F17" s="10" t="n">
        <v>100</v>
      </c>
      <c r="G17" s="12" t="inlineStr">
        <is>
          <t>PASS</t>
        </is>
      </c>
      <c r="H17" s="9" t="inlineStr"/>
      <c r="I17" s="9" t="inlineStr">
        <is>
          <t>JK_CTP_PPDS.CTP_Master_Routing; JK_CTP_PPDS.CTP_Master_BOM</t>
        </is>
      </c>
    </row>
    <row r="18">
      <c r="A18" s="4" t="inlineStr">
        <is>
          <t>Mixing</t>
        </is>
      </c>
      <c r="B18" s="4" t="inlineStr">
        <is>
          <t>BRM-06</t>
        </is>
      </c>
      <c r="C18" s="9" t="inlineStr">
        <is>
          <t>master&lt;-&gt;final switch with TR100 clean-out</t>
        </is>
      </c>
      <c r="D18" s="4" t="n">
        <v>6</v>
      </c>
      <c r="E18" s="4" t="n">
        <v>6</v>
      </c>
      <c r="F18" s="10" t="n">
        <v>100</v>
      </c>
      <c r="G18" s="12" t="inlineStr">
        <is>
          <t>PASS</t>
        </is>
      </c>
      <c r="H18" s="9" t="inlineStr">
        <is>
          <t>gap &gt;= 6 min (1 min changeover + 5 min TR100)</t>
        </is>
      </c>
      <c r="I18" s="9" t="inlineStr">
        <is>
          <t>JK_CTP_PPDS.CTP_Master_Routing; JK_CTP_PPDS.CTP_Master_BOM</t>
        </is>
      </c>
    </row>
    <row r="19">
      <c r="A19" s="4" t="inlineStr">
        <is>
          <t>Mixing</t>
        </is>
      </c>
      <c r="B19" s="4" t="inlineStr">
        <is>
          <t>BRM-03 / BR-V2</t>
        </is>
      </c>
      <c r="C19" s="9" t="inlineStr">
        <is>
          <t>transition at a butyl / protected compound</t>
        </is>
      </c>
      <c r="D19" s="4" t="n">
        <v>33</v>
      </c>
      <c r="E19" s="4" t="n">
        <v>33</v>
      </c>
      <c r="F19" s="10" t="n">
        <v>100</v>
      </c>
      <c r="G19" s="12" t="inlineStr">
        <is>
          <t>PASS</t>
        </is>
      </c>
      <c r="H19" s="9" t="inlineStr">
        <is>
          <t>in sequence, or clean-out &gt;= required (final 120 s; master: changeover only)</t>
        </is>
      </c>
      <c r="I19" s="9" t="inlineStr">
        <is>
          <t>JK_CTP_PPDS.CTP_Master_Routing; JK_CTP_PPDS.CTP_Master_BOM</t>
        </is>
      </c>
    </row>
    <row r="20">
      <c r="A20" s="4" t="inlineStr">
        <is>
          <t>Mixing</t>
        </is>
      </c>
      <c r="B20" s="4" t="inlineStr">
        <is>
          <t>BR-V2 prep in front</t>
        </is>
      </c>
      <c r="C20" s="9" t="inlineStr">
        <is>
          <t>30G run starts right after B1/B2/B99 (or inside a butyl block that starts right after B1/B2/B99)</t>
        </is>
      </c>
      <c r="D20" s="4" t="n">
        <v>6</v>
      </c>
      <c r="E20" s="4" t="n">
        <v>6</v>
      </c>
      <c r="F20" s="10" t="n">
        <v>100</v>
      </c>
      <c r="G20" s="12" t="inlineStr">
        <is>
          <t>PASS</t>
        </is>
      </c>
      <c r="H20" s="9" t="inlineStr"/>
      <c r="I20" s="9" t="inlineStr">
        <is>
          <t>JK_CTP_PPDS.CTP_Master_Routing; JK_CTP_PPDS.CTP_Master_BOM</t>
        </is>
      </c>
    </row>
    <row r="21">
      <c r="A21" s="4" t="inlineStr">
        <is>
          <t>Mixing</t>
        </is>
      </c>
      <c r="B21" s="4" t="inlineStr">
        <is>
          <t>BR-V2 prep in front</t>
        </is>
      </c>
      <c r="C21" s="9" t="inlineStr">
        <is>
          <t>IL3 run starts right after B1/B2/B99 or its IL family (or inside a butyl block that starts right after B1/B2/B99)</t>
        </is>
      </c>
      <c r="D21" s="4" t="n">
        <v>7</v>
      </c>
      <c r="E21" s="4" t="n">
        <v>7</v>
      </c>
      <c r="F21" s="10" t="n">
        <v>100</v>
      </c>
      <c r="G21" s="12" t="inlineStr">
        <is>
          <t>PASS</t>
        </is>
      </c>
      <c r="H21" s="9" t="inlineStr"/>
      <c r="I21" s="9" t="inlineStr">
        <is>
          <t>JK_CTP_PPDS.CTP_Master_Routing; JK_CTP_PPDS.CTP_Master_BOM</t>
        </is>
      </c>
    </row>
    <row r="22">
      <c r="A22" s="4" t="inlineStr">
        <is>
          <t>Mixing</t>
        </is>
      </c>
      <c r="B22" s="4" t="inlineStr">
        <is>
          <t>BR-V2 prep in front</t>
        </is>
      </c>
      <c r="C22" s="9" t="inlineStr">
        <is>
          <t>IL5 run starts right after B1/B2/B99 or its IL family (or inside a butyl block that starts right after B1/B2/B99)</t>
        </is>
      </c>
      <c r="D22" s="4" t="n">
        <v>8</v>
      </c>
      <c r="E22" s="4" t="n">
        <v>8</v>
      </c>
      <c r="F22" s="10" t="n">
        <v>100</v>
      </c>
      <c r="G22" s="12" t="inlineStr">
        <is>
          <t>PASS</t>
        </is>
      </c>
      <c r="H22" s="9" t="inlineStr"/>
      <c r="I22" s="9" t="inlineStr">
        <is>
          <t>JK_CTP_PPDS.CTP_Master_Routing; JK_CTP_PPDS.CTP_Master_BOM</t>
        </is>
      </c>
    </row>
    <row r="23">
      <c r="A23" s="4" t="inlineStr">
        <is>
          <t>Mixing</t>
        </is>
      </c>
      <c r="B23" s="4" t="inlineStr">
        <is>
          <t>BRM-09</t>
        </is>
      </c>
      <c r="C23" s="9" t="inlineStr">
        <is>
          <t>(mixer, shift, compound) as one run</t>
        </is>
      </c>
      <c r="D23" s="4" t="n">
        <v>484</v>
      </c>
      <c r="E23" s="4" t="n">
        <v>484</v>
      </c>
      <c r="F23" s="10" t="n">
        <v>100</v>
      </c>
      <c r="G23" s="12" t="inlineStr">
        <is>
          <t>PASS</t>
        </is>
      </c>
      <c r="H23" s="9" t="inlineStr"/>
      <c r="I23" s="9" t="inlineStr">
        <is>
          <t>JK_CTP_PPDS.CTP_Master_Routing; JK_CTP_PPDS.CTP_Master_BOM</t>
        </is>
      </c>
    </row>
    <row r="24">
      <c r="A24" s="4" t="inlineStr">
        <is>
          <t>Mixing</t>
        </is>
      </c>
      <c r="B24" s="4" t="inlineStr">
        <is>
          <t>BRM-11</t>
        </is>
      </c>
      <c r="C24" s="9" t="inlineStr">
        <is>
          <t>mixing lot on a plant-allowed mixer</t>
        </is>
      </c>
      <c r="D24" s="4" t="n">
        <v>545</v>
      </c>
      <c r="E24" s="4" t="n">
        <v>545</v>
      </c>
      <c r="F24" s="10" t="n">
        <v>100</v>
      </c>
      <c r="G24" s="12" t="inlineStr">
        <is>
          <t>PASS</t>
        </is>
      </c>
      <c r="H24" s="9" t="inlineStr"/>
      <c r="I24" s="9" t="inlineStr">
        <is>
          <t>JK_CTP_PPDS.CTP_Master_Routing; JK_CTP_PPDS.CTP_Master_BOM</t>
        </is>
      </c>
    </row>
    <row r="25">
      <c r="A25" s="4" t="inlineStr">
        <is>
          <t>Mixing</t>
        </is>
      </c>
      <c r="B25" s="4" t="inlineStr">
        <is>
          <t>3.1.3 / BRM-07</t>
        </is>
      </c>
      <c r="C25" s="9" t="inlineStr">
        <is>
          <t>plant day (07:00-&gt;07:00) with exactly one IL campaign</t>
        </is>
      </c>
      <c r="D25" s="4" t="n">
        <v>12</v>
      </c>
      <c r="E25" s="4" t="n">
        <v>12</v>
      </c>
      <c r="F25" s="10" t="n">
        <v>100</v>
      </c>
      <c r="G25" s="12" t="inlineStr">
        <is>
          <t>PASS</t>
        </is>
      </c>
      <c r="H25" s="9" t="inlineStr"/>
      <c r="I25" s="9" t="inlineStr">
        <is>
          <t>JK_CTP_PPDS.CTP_Master_Routing; JK_CTP_PPDS.CTP_Master_BOM</t>
        </is>
      </c>
    </row>
    <row r="26">
      <c r="A26" s="4" t="inlineStr">
        <is>
          <t>Mixing</t>
        </is>
      </c>
      <c r="B26" s="4" t="inlineStr">
        <is>
          <t>3.1.3</t>
        </is>
      </c>
      <c r="C26" s="9" t="inlineStr">
        <is>
          <t>IL campaign with a butyl-friendly (B1/B2/B99) in front of its butyl block</t>
        </is>
      </c>
      <c r="D26" s="4" t="n">
        <v>12</v>
      </c>
      <c r="E26" s="4" t="n">
        <v>12</v>
      </c>
      <c r="F26" s="10" t="n">
        <v>100</v>
      </c>
      <c r="G26" s="12" t="inlineStr">
        <is>
          <t>PASS</t>
        </is>
      </c>
      <c r="H26" s="9" t="inlineStr"/>
      <c r="I26" s="9" t="inlineStr">
        <is>
          <t>JK_CTP_PPDS.CTP_Master_Routing; JK_CTP_PPDS.CTP_Master_BOM</t>
        </is>
      </c>
    </row>
    <row r="27">
      <c r="A27" s="4" t="inlineStr">
        <is>
          <t>Mixing</t>
        </is>
      </c>
      <c r="B27" s="4" t="inlineStr">
        <is>
          <t>BRM-12</t>
        </is>
      </c>
      <c r="C27" s="9" t="inlineStr">
        <is>
          <t>plant-approved mixing cycle time</t>
        </is>
      </c>
      <c r="D27" s="4" t="n">
        <v>0</v>
      </c>
      <c r="E27" s="4" t="n">
        <v>0</v>
      </c>
      <c r="F27" s="4" t="n"/>
      <c r="G27" s="13" t="inlineStr">
        <is>
          <t>NOT SCORED</t>
        </is>
      </c>
      <c r="H27" s="9" t="inlineStr">
        <is>
          <t>NOT SCORED: setting: runtime = qty / routing proc_time x efficiency</t>
        </is>
      </c>
      <c r="I27" s="9" t="inlineStr">
        <is>
          <t>JK_CTP_PPDS.CTP_Master_Routing; JK_CTP_PPDS.CTP_Master_BOM</t>
        </is>
      </c>
    </row>
    <row r="28">
      <c r="A28" s="4" t="inlineStr">
        <is>
          <t>Mixing</t>
        </is>
      </c>
      <c r="B28" s="4" t="inlineStr">
        <is>
          <t>BRM-13</t>
        </is>
      </c>
      <c r="C28" s="9" t="inlineStr">
        <is>
          <t>+5 buffer batches per compound</t>
        </is>
      </c>
      <c r="D28" s="4" t="n">
        <v>0</v>
      </c>
      <c r="E28" s="4" t="n">
        <v>0</v>
      </c>
      <c r="F28" s="4" t="n"/>
      <c r="G28" s="13" t="inlineStr">
        <is>
          <t>NOT SCORED</t>
        </is>
      </c>
      <c r="H28" s="9" t="inlineStr">
        <is>
          <t>NOT SCORED: setting: buffer_batches = 5 on each compound's last lot</t>
        </is>
      </c>
      <c r="I28" s="9" t="inlineStr">
        <is>
          <t>JK_CTP_PPDS.CTP_Master_Routing; JK_CTP_PPDS.CTP_Master_BOM</t>
        </is>
      </c>
    </row>
    <row r="29">
      <c r="A29" s="4" t="inlineStr">
        <is>
          <t>Mixing</t>
        </is>
      </c>
      <c r="B29" s="4" t="inlineStr">
        <is>
          <t>BRM-05</t>
        </is>
      </c>
      <c r="C29" s="9" t="inlineStr">
        <is>
          <t>ML405/ML406 followed by MK3</t>
        </is>
      </c>
      <c r="D29" s="4" t="n">
        <v>0</v>
      </c>
      <c r="E29" s="4" t="n">
        <v>0</v>
      </c>
      <c r="F29" s="4" t="n"/>
      <c r="G29" s="13" t="inlineStr">
        <is>
          <t>NOT SCORED</t>
        </is>
      </c>
      <c r="H29" s="9" t="inlineStr">
        <is>
          <t>NOT SCORED: not applicable: no MK3 demand in this plan</t>
        </is>
      </c>
      <c r="I29" s="9" t="inlineStr">
        <is>
          <t>JK_CTP_PPDS.CTP_Master_Routing; JK_CTP_PPDS.CTP_Master_BOM</t>
        </is>
      </c>
    </row>
    <row r="30">
      <c r="A30" s="4" t="inlineStr">
        <is>
          <t>Mixing</t>
        </is>
      </c>
      <c r="B30" s="4" t="inlineStr">
        <is>
          <t>BRM-04</t>
        </is>
      </c>
      <c r="C30" s="9" t="inlineStr">
        <is>
          <t>K4 sequencing around IL compounds</t>
        </is>
      </c>
      <c r="D30" s="4" t="n">
        <v>0</v>
      </c>
      <c r="E30" s="4" t="n">
        <v>0</v>
      </c>
      <c r="F30" s="4" t="n"/>
      <c r="G30" s="13" t="inlineStr">
        <is>
          <t>NOT SCORED</t>
        </is>
      </c>
      <c r="H30" s="9" t="inlineStr">
        <is>
          <t>NOT SCORED: not modelled (plant: 'confirm for CTP')</t>
        </is>
      </c>
      <c r="I30" s="9" t="inlineStr">
        <is>
          <t>JK_CTP_PPDS.CTP_Master_Routing; JK_CTP_PPDS.CTP_Master_BOM</t>
        </is>
      </c>
    </row>
    <row r="31">
      <c r="A31" s="4" t="inlineStr">
        <is>
          <t>Mixing</t>
        </is>
      </c>
      <c r="B31" s="4" t="inlineStr">
        <is>
          <t>BRM-08</t>
        </is>
      </c>
      <c r="C31" s="9" t="inlineStr">
        <is>
          <t>both finals of one master consecutively</t>
        </is>
      </c>
      <c r="D31" s="4" t="n">
        <v>0</v>
      </c>
      <c r="E31" s="4" t="n">
        <v>0</v>
      </c>
      <c r="F31" s="4" t="n"/>
      <c r="G31" s="13" t="inlineStr">
        <is>
          <t>NOT SCORED</t>
        </is>
      </c>
      <c r="H31" s="9" t="inlineStr">
        <is>
          <t>NOT SCORED: not modelled (plant: 'confirm for CTP')</t>
        </is>
      </c>
      <c r="I31" s="9" t="inlineStr">
        <is>
          <t>JK_CTP_PPDS.CTP_Master_Routing; JK_CTP_PPDS.CTP_Master_BOM</t>
        </is>
      </c>
    </row>
    <row r="32">
      <c r="A32" s="4" t="inlineStr">
        <is>
          <t>Mixing (rules 01-Oct + v47)</t>
        </is>
      </c>
      <c r="B32" s="4" t="inlineStr">
        <is>
          <t>Final Mixer – Before Butyl</t>
        </is>
      </c>
      <c r="C32" s="9" t="inlineStr">
        <is>
          <t>A Butyl-friendly compound (B1, B2, B99) must run immediately before a Butyl block (30G, IL3, IL5 -- butyl compounds may follow each other inside the block with the 120 s clean-out); user 10-Oct, as the plant.</t>
        </is>
      </c>
      <c r="D32" s="4" t="n">
        <v>21</v>
      </c>
      <c r="E32" s="4" t="n">
        <v>21</v>
      </c>
      <c r="F32" s="10" t="n">
        <v>100</v>
      </c>
      <c r="G32" s="12" t="inlineStr">
        <is>
          <t>PASS</t>
        </is>
      </c>
      <c r="H32" s="9" t="inlineStr"/>
      <c r="I32" s="9" t="inlineStr">
        <is>
          <t>JK_CTP_PPDS.CTP_Master_Routing; JK_CTP_PPDS.CTP_Master_BOM; JK_CTP_PPDS.CTP_Master_FRC</t>
        </is>
      </c>
    </row>
    <row r="33">
      <c r="A33" s="4" t="inlineStr">
        <is>
          <t>Mixing (rules 01-Oct + v47)</t>
        </is>
      </c>
      <c r="B33" s="4" t="inlineStr">
        <is>
          <t>Final Mixer – After Butyl</t>
        </is>
      </c>
      <c r="C33" s="9" t="inlineStr">
        <is>
          <t>After running a Butyl compound, a mandatory 120-second clean-out must be provided: final 30G / IL3 / IL5 and (rule text) 29MG / ML405 / ML605 ('ML045 / ML065'); gap to the next compound &gt;= 120 s.</t>
        </is>
      </c>
      <c r="D33" s="4" t="n">
        <v>17</v>
      </c>
      <c r="E33" s="4" t="n">
        <v>17</v>
      </c>
      <c r="F33" s="10" t="n">
        <v>100</v>
      </c>
      <c r="G33" s="12" t="inlineStr">
        <is>
          <t>PASS</t>
        </is>
      </c>
      <c r="H33" s="9" t="inlineStr"/>
      <c r="I33" s="9" t="inlineStr">
        <is>
          <t>JK_CTP_PPDS.CTP_Master_Routing; JK_CTP_PPDS.CTP_Master_BOM; JK_CTP_PPDS.CTP_Master_FRC</t>
        </is>
      </c>
    </row>
    <row r="34">
      <c r="A34" s="4" t="inlineStr">
        <is>
          <t>Mixing (rules 01-Oct + v47)</t>
        </is>
      </c>
      <c r="B34" s="4" t="inlineStr">
        <is>
          <t>Master Mixer – Butyl Sequence</t>
        </is>
      </c>
      <c r="C34" s="9" t="inlineStr">
        <is>
          <t>A Butyl-friendly compound (MB100, MB200, XMB98) must run immediately before and after the Butyl block (29MG, ML405, ML605 together, 120 s clean-out between them); user 10-Oct, as the plant.</t>
        </is>
      </c>
      <c r="D34" s="4" t="n">
        <v>0</v>
      </c>
      <c r="E34" s="4" t="n">
        <v>0</v>
      </c>
      <c r="F34" s="4" t="n"/>
      <c r="G34" s="14" t="inlineStr">
        <is>
          <t>REPORT</t>
        </is>
      </c>
      <c r="H34" s="9" t="inlineStr"/>
      <c r="I34" s="9" t="inlineStr">
        <is>
          <t>JK_CTP_PPDS.CTP_Master_Routing; JK_CTP_PPDS.CTP_Master_BOM; JK_CTP_PPDS.CTP_Master_FRC</t>
        </is>
      </c>
    </row>
    <row r="35">
      <c r="A35" s="4" t="inlineStr">
        <is>
          <t>Mixing (rules 01-Oct + v47)</t>
        </is>
      </c>
      <c r="B35" s="4" t="inlineStr">
        <is>
          <t>430-2 Master Mixer – Final Compound</t>
        </is>
      </c>
      <c r="C35" s="9" t="inlineStr">
        <is>
          <t>When a final compound (T638) is run on the 430-2 Master Mixer, a mandatory 120-second clean-out must be provided both before and after the compound.</t>
        </is>
      </c>
      <c r="D35" s="4" t="n">
        <v>51</v>
      </c>
      <c r="E35" s="4" t="n">
        <v>51</v>
      </c>
      <c r="F35" s="10" t="n">
        <v>100</v>
      </c>
      <c r="G35" s="12" t="inlineStr">
        <is>
          <t>PASS</t>
        </is>
      </c>
      <c r="H35" s="9" t="inlineStr"/>
      <c r="I35" s="9" t="inlineStr">
        <is>
          <t>JK_CTP_PPDS.CTP_Master_Routing; JK_CTP_PPDS.CTP_Master_BOM; JK_CTP_PPDS.CTP_Master_FRC</t>
        </is>
      </c>
    </row>
    <row r="36">
      <c r="A36" s="4" t="inlineStr">
        <is>
          <t>Mixing (rules 01-Oct + v47)</t>
        </is>
      </c>
      <c r="B36" s="4" t="inlineStr">
        <is>
          <t>IL3 and IL5 together in one go a day</t>
        </is>
      </c>
      <c r="C36" s="9" t="inlineStr">
        <is>
          <t>IL3 and IL5 made together in the final mixer in ONE go once a day: B99 -&gt; IL3 -&gt; IL5 back to back (each compound once, no other compound between).</t>
        </is>
      </c>
      <c r="D36" s="4" t="n">
        <v>12</v>
      </c>
      <c r="E36" s="4" t="n">
        <v>12</v>
      </c>
      <c r="F36" s="10" t="n">
        <v>100</v>
      </c>
      <c r="G36" s="12" t="inlineStr">
        <is>
          <t>PASS</t>
        </is>
      </c>
      <c r="H36" s="9" t="inlineStr"/>
      <c r="I36" s="9" t="inlineStr">
        <is>
          <t>JK_CTP_PPDS.CTP_Master_Routing; JK_CTP_PPDS.CTP_Master_BOM; JK_CTP_PPDS.CTP_Master_FRC</t>
        </is>
      </c>
    </row>
    <row r="37">
      <c r="A37" s="4" t="inlineStr">
        <is>
          <t>Mixing (rules 01-Oct + v47)</t>
        </is>
      </c>
      <c r="B37" s="4" t="inlineStr">
        <is>
          <t>Mixing output in batches</t>
        </is>
      </c>
      <c r="C37" s="9" t="inlineStr">
        <is>
          <t>The mixing output should be in terms of batches, not KG.</t>
        </is>
      </c>
      <c r="D37" s="4" t="n">
        <v>567</v>
      </c>
      <c r="E37" s="4" t="n">
        <v>567</v>
      </c>
      <c r="F37" s="10" t="n">
        <v>100</v>
      </c>
      <c r="G37" s="12" t="inlineStr">
        <is>
          <t>PASS</t>
        </is>
      </c>
      <c r="H37" s="9" t="inlineStr"/>
      <c r="I37" s="9" t="inlineStr">
        <is>
          <t>JK_CTP_PPDS.CTP_Master_Routing; JK_CTP_PPDS.CTP_Master_BOM; JK_CTP_PPDS.CTP_Master_FRC</t>
        </is>
      </c>
    </row>
    <row r="38">
      <c r="A38" s="4" t="inlineStr">
        <is>
          <t>Mixing (rules 01-Oct + v47)</t>
        </is>
      </c>
      <c r="B38" s="4" t="inlineStr">
        <is>
          <t>One compound in one mixer per day</t>
        </is>
      </c>
      <c r="C38" s="9" t="inlineStr">
        <is>
          <t>One compound should be planned in only one mixer per plant day (07:00 -&gt; 07:00) and not split across multiple mixers.</t>
        </is>
      </c>
      <c r="D38" s="4" t="n">
        <v>394</v>
      </c>
      <c r="E38" s="4" t="n">
        <v>394</v>
      </c>
      <c r="F38" s="10" t="n">
        <v>100</v>
      </c>
      <c r="G38" s="12" t="inlineStr">
        <is>
          <t>PASS</t>
        </is>
      </c>
      <c r="H38" s="9" t="inlineStr"/>
      <c r="I38" s="9" t="inlineStr">
        <is>
          <t>JK_CTP_PPDS.CTP_Master_Routing; JK_CTP_PPDS.CTP_Master_BOM; JK_CTP_PPDS.CTP_Master_FRC</t>
        </is>
      </c>
    </row>
    <row r="39">
      <c r="A39" s="4" t="inlineStr">
        <is>
          <t>Mixing (rules 01-Oct + v47)</t>
        </is>
      </c>
      <c r="B39" s="4" t="inlineStr">
        <is>
          <t>Same compound not repeated within 15 h (24 h IL / 4RC)</t>
        </is>
      </c>
      <c r="C39" s="9" t="inlineStr">
        <is>
          <t>A new run of the same compound starts at least 15 h after the previous run of it started (24 h for IL3 / IL5 and the 4RC compounds); butyl-friendly compounds exempt (config mixing_v47.exempt).</t>
        </is>
      </c>
      <c r="D39" s="4" t="n">
        <v>391</v>
      </c>
      <c r="E39" s="4" t="n">
        <v>391</v>
      </c>
      <c r="F39" s="10" t="n">
        <v>100</v>
      </c>
      <c r="G39" s="12" t="inlineStr">
        <is>
          <t>PASS</t>
        </is>
      </c>
      <c r="H39" s="9" t="inlineStr"/>
      <c r="I39" s="9" t="inlineStr">
        <is>
          <t>JK_CTP_PPDS.CTP_Master_Routing; JK_CTP_PPDS.CTP_Master_BOM; JK_CTP_PPDS.CTP_Master_FRC</t>
        </is>
      </c>
    </row>
    <row r="40">
      <c r="A40" s="4" t="inlineStr">
        <is>
          <t>Mixing (rules 01-Oct + v47)</t>
        </is>
      </c>
      <c r="B40" s="4" t="inlineStr">
        <is>
          <t>Final compound – clean-out after</t>
        </is>
      </c>
      <c r="C40" s="9" t="inlineStr">
        <is>
          <t>After running every final compound, a mandatory 120-second clean-out must be provided before the next compound (user 13-Oct).</t>
        </is>
      </c>
      <c r="D40" s="4" t="n">
        <v>472</v>
      </c>
      <c r="E40" s="4" t="n">
        <v>472</v>
      </c>
      <c r="F40" s="10" t="n">
        <v>100</v>
      </c>
      <c r="G40" s="12" t="inlineStr">
        <is>
          <t>PASS</t>
        </is>
      </c>
      <c r="H40" s="9" t="inlineStr"/>
      <c r="I40" s="9" t="inlineStr">
        <is>
          <t>JK_CTP_PPDS.CTP_Master_Routing; JK_CTP_PPDS.CTP_Master_BOM; JK_CTP_PPDS.CTP_Master_FRC</t>
        </is>
      </c>
    </row>
    <row r="41">
      <c r="A41" s="4" t="inlineStr">
        <is>
          <t>Mixing (rules 01-Oct + v47)</t>
        </is>
      </c>
      <c r="B41" s="4" t="inlineStr">
        <is>
          <t>Final mixer batches per shift (target 230)</t>
        </is>
      </c>
      <c r="C41" s="9" t="inlineStr">
        <is>
          <t>average whole batches per shift (A / B / C, every shift of the plan window, idle = 0) on each final mixer vs the target 230 (report, no cap)</t>
        </is>
      </c>
      <c r="D41" s="4" t="n">
        <v>180</v>
      </c>
      <c r="E41" s="4" t="n"/>
      <c r="F41" s="4" t="n"/>
      <c r="G41" s="14" t="inlineStr">
        <is>
          <t>REPORT</t>
        </is>
      </c>
      <c r="H41" s="9" t="inlineStr">
        <is>
          <t>TARGET (report): F270 avg 109 / shift (min 0, max 244); F440 avg 91 / shift (min 0, max 239); K270M avg 80 / shift (min 0, max 214); K310 avg 69 / shift (min 0, max 236); K430-1 avg 50 / shift (min 0, max 223); K430-2 avg 42 / shift (min 0, max 223) -- 32.0% of target</t>
        </is>
      </c>
      <c r="I41" s="9" t="inlineStr">
        <is>
          <t>JK_CTP_PPDS.CTP_Master_Routing; JK_CTP_PPDS.CTP_Master_BOM; JK_CTP_PPDS.CTP_Master_FRC</t>
        </is>
      </c>
    </row>
    <row r="42">
      <c r="A42" s="4" t="inlineStr">
        <is>
          <t>MPQ</t>
        </is>
      </c>
      <c r="B42" s="4" t="inlineStr">
        <is>
          <t>MPQ-DB</t>
        </is>
      </c>
      <c r="C42" s="9" t="inlineStr">
        <is>
          <t>upstream lot &gt;= its CTP_Master_MPQ minimum</t>
        </is>
      </c>
      <c r="D42" s="4" t="n">
        <v>3707</v>
      </c>
      <c r="E42" s="4" t="n">
        <v>3707</v>
      </c>
      <c r="F42" s="10" t="n">
        <v>100</v>
      </c>
      <c r="G42" s="12" t="inlineStr">
        <is>
          <t>PASS</t>
        </is>
      </c>
      <c r="H42" s="9" t="inlineStr">
        <is>
          <t>226 lots without an MPQ row; 8 edge items on the smallest gauge</t>
        </is>
      </c>
      <c r="I42" s="9" t="inlineStr">
        <is>
          <t>JK_CTP_PPDS.CTP_Master_MPQ; JK_CTP_PPDS.CTP_Master_BOM; JK_CTP_PPDS.CTP_Master_Routing; JK_CTP_PPDS.CTP_Master_BuildingAllowable</t>
        </is>
      </c>
    </row>
    <row r="43">
      <c r="A43" s="4" t="inlineStr">
        <is>
          <t>4-roll calender (901)</t>
        </is>
      </c>
      <c r="B43" s="4" t="inlineStr">
        <is>
          <t>4RC-2 bypass slitted</t>
        </is>
      </c>
      <c r="C43" s="9" t="inlineStr">
        <is>
          <t>'CAP 66- slitted material' lots (must be 0)</t>
        </is>
      </c>
      <c r="D43" s="4" t="n">
        <v>1</v>
      </c>
      <c r="E43" s="4" t="n">
        <v>1</v>
      </c>
      <c r="F43" s="10" t="n">
        <v>100</v>
      </c>
      <c r="G43" s="12" t="inlineStr">
        <is>
          <t>PASS</t>
        </is>
      </c>
      <c r="H43" s="9" t="inlineStr">
        <is>
          <t>0 slitted lots; 20 mother-roll lots on 901</t>
        </is>
      </c>
      <c r="I43" s="9" t="inlineStr">
        <is>
          <t>JK_CTP_PPDS.CTP_Master_Routing; JK_CTP_PPDS.CTP_Master_ChangeoverMatrix; JK_CTP_PPDS.CTP_Master_FRC</t>
        </is>
      </c>
    </row>
    <row r="44">
      <c r="A44" s="4" t="inlineStr">
        <is>
          <t>4-roll calender (901)</t>
        </is>
      </c>
      <c r="B44" s="4" t="inlineStr">
        <is>
          <t>4RC-4 routing line speed</t>
        </is>
      </c>
      <c r="C44" s="9" t="inlineStr">
        <is>
          <t>901 lot run time = metres / (proc_time x efficiency) +- 1 min</t>
        </is>
      </c>
      <c r="D44" s="4" t="n">
        <v>172</v>
      </c>
      <c r="E44" s="4" t="n">
        <v>172</v>
      </c>
      <c r="F44" s="10" t="n">
        <v>100</v>
      </c>
      <c r="G44" s="12" t="inlineStr">
        <is>
          <t>PASS</t>
        </is>
      </c>
      <c r="H44" s="9" t="inlineStr"/>
      <c r="I44" s="9" t="inlineStr">
        <is>
          <t>JK_CTP_PPDS.CTP_Master_Routing; JK_CTP_PPDS.CTP_Master_ChangeoverMatrix; JK_CTP_PPDS.CTP_Master_FRC</t>
        </is>
      </c>
    </row>
    <row r="45">
      <c r="A45" s="4" t="inlineStr">
        <is>
          <t>4-roll calender (901)</t>
        </is>
      </c>
      <c r="B45" s="4" t="inlineStr">
        <is>
          <t>4RC-5 creel (one creel)</t>
        </is>
      </c>
      <c r="C45" s="9" t="inlineStr">
        <is>
          <t>cord change: next steel &gt;= 240 min after the old cord</t>
        </is>
      </c>
      <c r="D45" s="4" t="n">
        <v>23</v>
      </c>
      <c r="E45" s="4" t="n">
        <v>23</v>
      </c>
      <c r="F45" s="10" t="n">
        <v>100</v>
      </c>
      <c r="G45" s="12" t="inlineStr">
        <is>
          <t>PASS</t>
        </is>
      </c>
      <c r="H45" s="9" t="inlineStr"/>
      <c r="I45" s="9" t="inlineStr">
        <is>
          <t>JK_CTP_PPDS.CTP_Master_Routing; JK_CTP_PPDS.CTP_Master_ChangeoverMatrix; JK_CTP_PPDS.CTP_Master_FRC</t>
        </is>
      </c>
    </row>
    <row r="46">
      <c r="A46" s="4" t="inlineStr">
        <is>
          <t>4-roll calender (901)</t>
        </is>
      </c>
      <c r="B46" s="4" t="inlineStr">
        <is>
          <t>4RC-5 creel (one creel)</t>
        </is>
      </c>
      <c r="C46" s="9" t="inlineStr">
        <is>
          <t>creel time not stacked on the serial changeover</t>
        </is>
      </c>
      <c r="D46" s="4" t="n">
        <v>23</v>
      </c>
      <c r="E46" s="4" t="n">
        <v>23</v>
      </c>
      <c r="F46" s="10" t="n">
        <v>100</v>
      </c>
      <c r="G46" s="12" t="inlineStr">
        <is>
          <t>PASS</t>
        </is>
      </c>
      <c r="H46" s="9" t="inlineStr"/>
      <c r="I46" s="9" t="inlineStr">
        <is>
          <t>JK_CTP_PPDS.CTP_Master_Routing; JK_CTP_PPDS.CTP_Master_ChangeoverMatrix; JK_CTP_PPDS.CTP_Master_FRC</t>
        </is>
      </c>
    </row>
    <row r="47">
      <c r="A47" s="4" t="inlineStr">
        <is>
          <t>4-roll calender (901)</t>
        </is>
      </c>
      <c r="B47" s="4" t="inlineStr">
        <is>
          <t>4RC-3 capacity (separately)</t>
        </is>
      </c>
      <c r="C47" s="9" t="inlineStr">
        <is>
          <t>plant day with steel and fabric each &lt;= available</t>
        </is>
      </c>
      <c r="D47" s="4" t="n">
        <v>11</v>
      </c>
      <c r="E47" s="4" t="n">
        <v>11</v>
      </c>
      <c r="F47" s="10" t="n">
        <v>100</v>
      </c>
      <c r="G47" s="12" t="inlineStr">
        <is>
          <t>PASS</t>
        </is>
      </c>
      <c r="H47" s="9" t="inlineStr"/>
      <c r="I47" s="9" t="inlineStr">
        <is>
          <t>JK_CTP_PPDS.CTP_Master_Routing; JK_CTP_PPDS.CTP_Master_ChangeoverMatrix; JK_CTP_PPDS.CTP_Master_FRC</t>
        </is>
      </c>
    </row>
    <row r="48">
      <c r="A48" s="4" t="inlineStr">
        <is>
          <t>4-roll calender (901)</t>
        </is>
      </c>
      <c r="B48" s="4" t="inlineStr">
        <is>
          <t>4RC-3 capacity (combined)</t>
        </is>
      </c>
      <c r="C48" s="9" t="inlineStr">
        <is>
          <t>plant day with steel + fabric &lt;= available</t>
        </is>
      </c>
      <c r="D48" s="4" t="n">
        <v>11</v>
      </c>
      <c r="E48" s="4" t="n">
        <v>11</v>
      </c>
      <c r="F48" s="10" t="n">
        <v>100</v>
      </c>
      <c r="G48" s="12" t="inlineStr">
        <is>
          <t>PASS</t>
        </is>
      </c>
      <c r="H48" s="9" t="inlineStr"/>
      <c r="I48" s="9" t="inlineStr">
        <is>
          <t>JK_CTP_PPDS.CTP_Master_Routing; JK_CTP_PPDS.CTP_Master_ChangeoverMatrix; JK_CTP_PPDS.CTP_Master_FRC</t>
        </is>
      </c>
    </row>
    <row r="49">
      <c r="A49" s="4" t="inlineStr">
        <is>
          <t>4-roll calender (901)</t>
        </is>
      </c>
      <c r="B49" s="4" t="inlineStr">
        <is>
          <t>4RC-6 roll lengths</t>
        </is>
      </c>
      <c r="C49" s="9" t="inlineStr">
        <is>
          <t>lot &lt;= one spool / dip length (max roll)</t>
        </is>
      </c>
      <c r="D49" s="4" t="n">
        <v>172</v>
      </c>
      <c r="E49" s="4" t="n">
        <v>172</v>
      </c>
      <c r="F49" s="10" t="n">
        <v>100</v>
      </c>
      <c r="G49" s="12" t="inlineStr">
        <is>
          <t>PASS</t>
        </is>
      </c>
      <c r="H49" s="9" t="inlineStr"/>
      <c r="I49" s="9" t="inlineStr">
        <is>
          <t>JK_CTP_PPDS.CTP_Master_Routing; JK_CTP_PPDS.CTP_Master_ChangeoverMatrix; JK_CTP_PPDS.CTP_Master_FRC</t>
        </is>
      </c>
    </row>
    <row r="50">
      <c r="A50" s="4" t="inlineStr">
        <is>
          <t>4-roll calender (901)</t>
        </is>
      </c>
      <c r="B50" s="4" t="inlineStr">
        <is>
          <t>4RC-6 roll lengths</t>
        </is>
      </c>
      <c r="C50" s="9" t="inlineStr">
        <is>
          <t>lot &gt;= minimum roll length (spool_length / MPQ)</t>
        </is>
      </c>
      <c r="D50" s="4" t="n">
        <v>172</v>
      </c>
      <c r="E50" s="4" t="n">
        <v>172</v>
      </c>
      <c r="F50" s="10" t="n">
        <v>100</v>
      </c>
      <c r="G50" s="12" t="inlineStr">
        <is>
          <t>PASS</t>
        </is>
      </c>
      <c r="H50" s="9" t="inlineStr"/>
      <c r="I50" s="9" t="inlineStr">
        <is>
          <t>JK_CTP_PPDS.CTP_Master_Routing; JK_CTP_PPDS.CTP_Master_ChangeoverMatrix; JK_CTP_PPDS.CTP_Master_FRC</t>
        </is>
      </c>
    </row>
    <row r="51">
      <c r="A51" s="4" t="inlineStr">
        <is>
          <t>4-roll calender (901)</t>
        </is>
      </c>
      <c r="B51" s="4" t="inlineStr">
        <is>
          <t>4RC-6 roll lengths</t>
        </is>
      </c>
      <c r="C51" s="9" t="inlineStr">
        <is>
          <t>spool / dip ends at 0 or &gt;= minimum roll (no infeasible residual)</t>
        </is>
      </c>
      <c r="D51" s="4" t="n">
        <v>16</v>
      </c>
      <c r="E51" s="4" t="n">
        <v>16</v>
      </c>
      <c r="F51" s="10" t="n">
        <v>100</v>
      </c>
      <c r="G51" s="12" t="inlineStr">
        <is>
          <t>PASS</t>
        </is>
      </c>
      <c r="H51" s="9" t="inlineStr"/>
      <c r="I51" s="9" t="inlineStr">
        <is>
          <t>JK_CTP_PPDS.CTP_Master_Routing; JK_CTP_PPDS.CTP_Master_ChangeoverMatrix; JK_CTP_PPDS.CTP_Master_FRC</t>
        </is>
      </c>
    </row>
    <row r="52">
      <c r="A52" s="4" t="inlineStr">
        <is>
          <t>4-roll calender (901)</t>
        </is>
      </c>
      <c r="B52" s="4" t="inlineStr">
        <is>
          <t>4RC-6 roll lengths</t>
        </is>
      </c>
      <c r="C52" s="9" t="inlineStr">
        <is>
          <t>changeovers on 901 (item switches; report)</t>
        </is>
      </c>
      <c r="D52" s="4" t="n">
        <v>70</v>
      </c>
      <c r="E52" s="4" t="n">
        <v>70</v>
      </c>
      <c r="F52" s="4" t="n"/>
      <c r="G52" s="14" t="inlineStr">
        <is>
          <t>REPORT</t>
        </is>
      </c>
      <c r="H52" s="9" t="inlineStr">
        <is>
          <t>71 runs for 172 lots</t>
        </is>
      </c>
      <c r="I52" s="9" t="inlineStr">
        <is>
          <t>JK_CTP_PPDS.CTP_Master_Routing; JK_CTP_PPDS.CTP_Master_ChangeoverMatrix; JK_CTP_PPDS.CTP_Master_FRC</t>
        </is>
      </c>
    </row>
    <row r="53">
      <c r="A53" s="4" t="inlineStr">
        <is>
          <t>4-roll calender (901)</t>
        </is>
      </c>
      <c r="B53" s="4" t="inlineStr">
        <is>
          <t>4RC-7 one go per day</t>
        </is>
      </c>
      <c r="C53" s="9" t="inlineStr">
        <is>
          <t>item made in ONE run per plant day (07:00 -&gt; 07:00)</t>
        </is>
      </c>
      <c r="D53" s="4" t="n">
        <v>74</v>
      </c>
      <c r="E53" s="4" t="n">
        <v>74</v>
      </c>
      <c r="F53" s="10" t="n">
        <v>100</v>
      </c>
      <c r="G53" s="12" t="inlineStr">
        <is>
          <t>PASS</t>
        </is>
      </c>
      <c r="H53" s="9" t="inlineStr"/>
      <c r="I53" s="9" t="inlineStr">
        <is>
          <t>JK_CTP_PPDS.CTP_Master_Routing; JK_CTP_PPDS.CTP_Master_ChangeoverMatrix; JK_CTP_PPDS.CTP_Master_FRC</t>
        </is>
      </c>
    </row>
    <row r="54">
      <c r="A54" s="4" t="inlineStr">
        <is>
          <t>4-roll calender (901)</t>
        </is>
      </c>
      <c r="B54" s="4" t="inlineStr">
        <is>
          <t>4RC-8 spool entirely consumed</t>
        </is>
      </c>
      <c r="C54" s="9" t="inlineStr">
        <is>
          <t>wire / dip change only after its spool is fully used</t>
        </is>
      </c>
      <c r="D54" s="4" t="n">
        <v>61</v>
      </c>
      <c r="E54" s="4" t="n">
        <v>5</v>
      </c>
      <c r="F54" s="4" t="n"/>
      <c r="G54" s="13" t="inlineStr">
        <is>
          <t>NOT SCORED</t>
        </is>
      </c>
      <c r="H54" s="9" t="inlineStr">
        <is>
          <t>NOT SCORED: switched off in this version (config) -- measured only. 56 changes with metres left, e.g. [(Timestamp('2026-10-13 03:27:03.599999999'), '1036S42100', 7051), (Timestamp('2026-10-13 08:41:41.999999998'), '1032281000', 2710), (Timestamp('2026-10-14 05:21:35.999999998'), '1034284300', 1827)]</t>
        </is>
      </c>
      <c r="I54" s="9" t="inlineStr">
        <is>
          <t>JK_CTP_PPDS.CTP_Master_Routing; JK_CTP_PPDS.CTP_Master_ChangeoverMatrix; JK_CTP_PPDS.CTP_Master_FRC</t>
        </is>
      </c>
    </row>
    <row r="55">
      <c r="A55" s="4" t="inlineStr">
        <is>
          <t>4-roll calender (901)</t>
        </is>
      </c>
      <c r="B55" s="4" t="inlineStr">
        <is>
          <t>4RC-9 steel&lt;-&gt;fabric (rule 3)</t>
        </is>
      </c>
      <c r="C55" s="9" t="inlineStr">
        <is>
          <t>steel cord change with fabric between (days with fabric on 901)</t>
        </is>
      </c>
      <c r="D55" s="4" t="n">
        <v>23</v>
      </c>
      <c r="E55" s="4" t="n">
        <v>21</v>
      </c>
      <c r="F55" s="10" t="n">
        <v>91.3</v>
      </c>
      <c r="G55" s="11" t="inlineStr">
        <is>
          <t>PARTIAL</t>
        </is>
      </c>
      <c r="H55" s="9" t="inlineStr">
        <is>
          <t>0 cord change(s) on days with no fabric lot (cannot comply, not scored); 0 pair(s) on the same FRC wire (one spool, not a cord change)</t>
        </is>
      </c>
      <c r="I55" s="9" t="inlineStr">
        <is>
          <t>JK_CTP_PPDS.CTP_Master_Routing; JK_CTP_PPDS.CTP_Master_ChangeoverMatrix; JK_CTP_PPDS.CTP_Master_FRC</t>
        </is>
      </c>
    </row>
    <row r="56">
      <c r="A56" s="4" t="inlineStr">
        <is>
          <t>4-roll calender (901)</t>
        </is>
      </c>
      <c r="B56" s="4" t="inlineStr">
        <is>
          <t>4RC v42 wire campaigns</t>
        </is>
      </c>
      <c r="C56" s="9" t="inlineStr">
        <is>
          <t>report: steel creel loads / dip loads (same FRC wire_type run together)</t>
        </is>
      </c>
      <c r="D56" s="4" t="n">
        <v>62</v>
      </c>
      <c r="E56" s="4" t="n">
        <v>62</v>
      </c>
      <c r="F56" s="4" t="n"/>
      <c r="G56" s="14" t="inlineStr">
        <is>
          <t>REPORT</t>
        </is>
      </c>
      <c r="H56" s="9" t="inlineStr">
        <is>
          <t>25 steel creel loads, 37 fabric dip loads</t>
        </is>
      </c>
      <c r="I56" s="9" t="inlineStr">
        <is>
          <t>JK_CTP_PPDS.CTP_Master_Routing; JK_CTP_PPDS.CTP_Master_ChangeoverMatrix; JK_CTP_PPDS.CTP_Master_FRC</t>
        </is>
      </c>
    </row>
    <row r="57">
      <c r="A57" s="4" t="inlineStr">
        <is>
          <t>4-roll calender (901)</t>
        </is>
      </c>
      <c r="B57" s="4" t="inlineStr">
        <is>
          <t>4RC v42 wire campaigns</t>
        </is>
      </c>
      <c r="C57" s="9" t="inlineStr">
        <is>
          <t>items inside a wire load in the cheapest matrix order</t>
        </is>
      </c>
      <c r="D57" s="4" t="n">
        <v>7</v>
      </c>
      <c r="E57" s="4" t="n">
        <v>7</v>
      </c>
      <c r="F57" s="10" t="n">
        <v>100</v>
      </c>
      <c r="G57" s="12" t="inlineStr">
        <is>
          <t>PASS</t>
        </is>
      </c>
      <c r="H57" s="9" t="inlineStr"/>
      <c r="I57" s="9" t="inlineStr">
        <is>
          <t>JK_CTP_PPDS.CTP_Master_Routing; JK_CTP_PPDS.CTP_Master_ChangeoverMatrix; JK_CTP_PPDS.CTP_Master_FRC</t>
        </is>
      </c>
    </row>
    <row r="58">
      <c r="A58" s="4" t="inlineStr">
        <is>
          <t>4-roll calender (901)</t>
        </is>
      </c>
      <c r="B58" s="4" t="inlineStr">
        <is>
          <t>4RC-10 no idle inside a load</t>
        </is>
      </c>
      <c r="C58" s="9" t="inlineStr">
        <is>
          <t>report: idle between dips / spools of a loaded wire (at a dip / spool boundary)</t>
        </is>
      </c>
      <c r="D58" s="4" t="n">
        <v>0</v>
      </c>
      <c r="E58" s="4" t="n">
        <v>0</v>
      </c>
      <c r="F58" s="4" t="n"/>
      <c r="G58" s="14" t="inlineStr">
        <is>
          <t>REPORT</t>
        </is>
      </c>
      <c r="H58" s="9" t="inlineStr">
        <is>
          <t>0.0 h</t>
        </is>
      </c>
      <c r="I58" s="9" t="inlineStr">
        <is>
          <t>JK_CTP_PPDS.CTP_Master_Routing; JK_CTP_PPDS.CTP_Master_ChangeoverMatrix; JK_CTP_PPDS.CTP_Master_FRC</t>
        </is>
      </c>
    </row>
    <row r="59">
      <c r="A59" s="4" t="inlineStr">
        <is>
          <t>4-roll calender (901)</t>
        </is>
      </c>
      <c r="B59" s="4" t="inlineStr">
        <is>
          <t>4RC-10 no idle inside a load</t>
        </is>
      </c>
      <c r="C59" s="9" t="inlineStr">
        <is>
          <t>no idle in the MIDDLE of a dip / spool (loads)</t>
        </is>
      </c>
      <c r="D59" s="4" t="n">
        <v>62</v>
      </c>
      <c r="E59" s="4" t="n">
        <v>62</v>
      </c>
      <c r="F59" s="10" t="n">
        <v>100</v>
      </c>
      <c r="G59" s="12" t="inlineStr">
        <is>
          <t>PASS</t>
        </is>
      </c>
      <c r="H59" s="9" t="inlineStr"/>
      <c r="I59" s="9" t="inlineStr">
        <is>
          <t>JK_CTP_PPDS.CTP_Master_Routing; JK_CTP_PPDS.CTP_Master_ChangeoverMatrix; JK_CTP_PPDS.CTP_Master_FRC</t>
        </is>
      </c>
    </row>
    <row r="60">
      <c r="A60" s="4" t="inlineStr">
        <is>
          <t>4-roll calender (901)</t>
        </is>
      </c>
      <c r="B60" s="4" t="inlineStr">
        <is>
          <t>4RC-9 least changeover</t>
        </is>
      </c>
      <c r="C60" s="9" t="inlineStr">
        <is>
          <t>report: changeovers by matrix type</t>
        </is>
      </c>
      <c r="D60" s="4" t="n">
        <v>70</v>
      </c>
      <c r="E60" s="4" t="n">
        <v>70</v>
      </c>
      <c r="F60" s="4" t="n"/>
      <c r="G60" s="14" t="inlineStr">
        <is>
          <t>REPORT</t>
        </is>
      </c>
      <c r="H60" s="9" t="inlineStr">
        <is>
          <t>{'steel to fabric changeover': 18, 'fabric to steel changeover': 17, 'fabric to fabric changeover': 16, 'dual groove roll set up cwbp60': 10, 'steel to steel compound  change': 6, 'steel to steel changeover': 3}</t>
        </is>
      </c>
      <c r="I60" s="9" t="inlineStr">
        <is>
          <t>JK_CTP_PPDS.CTP_Master_Routing; JK_CTP_PPDS.CTP_Master_ChangeoverMatrix; JK_CTP_PPDS.CTP_Master_FRC</t>
        </is>
      </c>
    </row>
    <row r="61">
      <c r="A61" s="4" t="inlineStr">
        <is>
          <t>Extrusion - Quintoplex (1002)</t>
        </is>
      </c>
      <c r="B61" s="4" t="inlineStr">
        <is>
          <t>BR-18 eligibility</t>
        </is>
      </c>
      <c r="C61" s="9" t="inlineStr">
        <is>
          <t>lot on 1002 is routed to 1002</t>
        </is>
      </c>
      <c r="D61" s="4" t="n">
        <v>192</v>
      </c>
      <c r="E61" s="4" t="n">
        <v>192</v>
      </c>
      <c r="F61" s="10" t="n">
        <v>100</v>
      </c>
      <c r="G61" s="12" t="inlineStr">
        <is>
          <t>PASS</t>
        </is>
      </c>
      <c r="H61" s="9" t="inlineStr"/>
      <c r="I61" s="9" t="inlineStr">
        <is>
          <t>JK_CTP_PPDS.CTP_Master_Routing; JK_CTP_PPDS.CTP_Master_ChangeoverMatrix; JK_CTP_PPDS.CTP_Master_BOM</t>
        </is>
      </c>
    </row>
    <row r="62">
      <c r="A62" s="4" t="inlineStr">
        <is>
          <t>Extrusion - Quintoplex (1002)</t>
        </is>
      </c>
      <c r="B62" s="4" t="inlineStr">
        <is>
          <t>BR-18 eligibility</t>
        </is>
      </c>
      <c r="C62" s="9" t="inlineStr">
        <is>
          <t>routed item lot runs on 1002</t>
        </is>
      </c>
      <c r="D62" s="4" t="n">
        <v>192</v>
      </c>
      <c r="E62" s="4" t="n">
        <v>192</v>
      </c>
      <c r="F62" s="10" t="n">
        <v>100</v>
      </c>
      <c r="G62" s="12" t="inlineStr">
        <is>
          <t>PASS</t>
        </is>
      </c>
      <c r="H62" s="9" t="inlineStr"/>
      <c r="I62" s="9" t="inlineStr">
        <is>
          <t>JK_CTP_PPDS.CTP_Master_Routing; JK_CTP_PPDS.CTP_Master_ChangeoverMatrix; JK_CTP_PPDS.CTP_Master_BOM</t>
        </is>
      </c>
    </row>
    <row r="63">
      <c r="A63" s="4" t="inlineStr">
        <is>
          <t>Extrusion - Quintoplex (1002)</t>
        </is>
      </c>
      <c r="B63" s="4" t="inlineStr">
        <is>
          <t>BR-19 line speed</t>
        </is>
      </c>
      <c r="C63" s="9" t="inlineStr">
        <is>
          <t>run time = metres / (routing M/MIN x eff) +- 1 min</t>
        </is>
      </c>
      <c r="D63" s="4" t="n">
        <v>192</v>
      </c>
      <c r="E63" s="4" t="n">
        <v>192</v>
      </c>
      <c r="F63" s="10" t="n">
        <v>100</v>
      </c>
      <c r="G63" s="12" t="inlineStr">
        <is>
          <t>PASS</t>
        </is>
      </c>
      <c r="H63" s="9" t="inlineStr">
        <is>
          <t>routed items with no speed (not scheduled here unless listed in the sequence): ['TRD 1773 NEOPS', 'TRD 1776 RAN HPE', 'TRD 1935 XPC1', 'TRD 1964 SPT', 'TRD 2158 RAN HT', 'TRD 2268 RAN HPE', 'TRD 2467 RAN HP', 'TRD 2468 RAN HP', 'TRD 2476 RAN HT2', 'TRD 2476 RAN MT', 'TRD 2569 RAN AT', 'TRD 2676 RAN MT', 'TRD 2757 UXGR', 'TRD 2856 RAN MT']</t>
        </is>
      </c>
      <c r="I63" s="9" t="inlineStr">
        <is>
          <t>JK_CTP_PPDS.CTP_Master_Routing; JK_CTP_PPDS.CTP_Master_ChangeoverMatrix; JK_CTP_PPDS.CTP_Master_BOM</t>
        </is>
      </c>
    </row>
    <row r="64">
      <c r="A64" s="4" t="inlineStr">
        <is>
          <t>Extrusion - Quintoplex (1002)</t>
        </is>
      </c>
      <c r="B64" s="4" t="inlineStr">
        <is>
          <t>BR-20 matrix changeover</t>
        </is>
      </c>
      <c r="C64" s="9" t="inlineStr">
        <is>
          <t>gap before an item change &gt;= matrix time</t>
        </is>
      </c>
      <c r="D64" s="4" t="n">
        <v>172</v>
      </c>
      <c r="E64" s="4" t="n">
        <v>172</v>
      </c>
      <c r="F64" s="10" t="n">
        <v>100</v>
      </c>
      <c r="G64" s="12" t="inlineStr">
        <is>
          <t>PASS</t>
        </is>
      </c>
      <c r="H64" s="9" t="inlineStr"/>
      <c r="I64" s="9" t="inlineStr">
        <is>
          <t>JK_CTP_PPDS.CTP_Master_Routing; JK_CTP_PPDS.CTP_Master_ChangeoverMatrix; JK_CTP_PPDS.CTP_Master_BOM</t>
        </is>
      </c>
    </row>
    <row r="65">
      <c r="A65" s="4" t="inlineStr">
        <is>
          <t>Extrusion - Quintoplex (1002)</t>
        </is>
      </c>
      <c r="B65" s="4" t="inlineStr">
        <is>
          <t>BR-21 sequencing</t>
        </is>
      </c>
      <c r="C65" s="9" t="inlineStr">
        <is>
          <t>switch is same die or compatible family (A / B)</t>
        </is>
      </c>
      <c r="D65" s="4" t="n">
        <v>191</v>
      </c>
      <c r="E65" s="4" t="n">
        <v>86</v>
      </c>
      <c r="F65" s="4" t="n"/>
      <c r="G65" s="14" t="inlineStr">
        <is>
          <t>REPORT</t>
        </is>
      </c>
      <c r="H65" s="9" t="inlineStr">
        <is>
          <t>strict view (scored row: '... or coverage did not permit').</t>
        </is>
      </c>
      <c r="I65" s="9" t="inlineStr">
        <is>
          <t>JK_CTP_PPDS.CTP_Master_Routing; JK_CTP_PPDS.CTP_Master_ChangeoverMatrix; JK_CTP_PPDS.CTP_Master_BOM</t>
        </is>
      </c>
    </row>
    <row r="66">
      <c r="A66" s="4" t="inlineStr">
        <is>
          <t>Extrusion - Quintoplex (1002)</t>
        </is>
      </c>
      <c r="B66" s="4" t="inlineStr">
        <is>
          <t>BR-21 sequencing</t>
        </is>
      </c>
      <c r="C66" s="9" t="inlineStr">
        <is>
          <t>... or coverage did not permit a compatible lot next</t>
        </is>
      </c>
      <c r="D66" s="4" t="n">
        <v>191</v>
      </c>
      <c r="E66" s="4" t="n">
        <v>104</v>
      </c>
      <c r="F66" s="10" t="n">
        <v>54.45</v>
      </c>
      <c r="G66" s="15" t="inlineStr">
        <is>
          <t>FAIL</t>
        </is>
      </c>
      <c r="H66" s="9" t="inlineStr">
        <is>
          <t>87 switches where a compatible lot was available</t>
        </is>
      </c>
      <c r="I66" s="9" t="inlineStr">
        <is>
          <t>JK_CTP_PPDS.CTP_Master_Routing; JK_CTP_PPDS.CTP_Master_ChangeoverMatrix; JK_CTP_PPDS.CTP_Master_BOM</t>
        </is>
      </c>
    </row>
    <row r="67">
      <c r="A67" s="4" t="inlineStr">
        <is>
          <t>Extrusion - Quintoplex (1002)</t>
        </is>
      </c>
      <c r="B67" s="4" t="inlineStr">
        <is>
          <t>BR-21 sequencing</t>
        </is>
      </c>
      <c r="C67" s="9" t="inlineStr">
        <is>
          <t>plant day without repeated compound-family changes (switches = families - 1)</t>
        </is>
      </c>
      <c r="D67" s="4" t="n">
        <v>11</v>
      </c>
      <c r="E67" s="4" t="n">
        <v>2</v>
      </c>
      <c r="F67" s="10" t="n">
        <v>18.18</v>
      </c>
      <c r="G67" s="15" t="inlineStr">
        <is>
          <t>FAIL</t>
        </is>
      </c>
      <c r="H67" s="9" t="inlineStr">
        <is>
          <t>42 family switches vs minimum 19</t>
        </is>
      </c>
      <c r="I67" s="9" t="inlineStr">
        <is>
          <t>JK_CTP_PPDS.CTP_Master_Routing; JK_CTP_PPDS.CTP_Master_ChangeoverMatrix; JK_CTP_PPDS.CTP_Master_BOM</t>
        </is>
      </c>
    </row>
    <row r="68">
      <c r="A68" s="4" t="inlineStr">
        <is>
          <t>Extrusion - Duplex (1801)</t>
        </is>
      </c>
      <c r="B68" s="4" t="inlineStr">
        <is>
          <t>BR-22 eligibility</t>
        </is>
      </c>
      <c r="C68" s="9" t="inlineStr">
        <is>
          <t>lot on 1801 is routed to 1801</t>
        </is>
      </c>
      <c r="D68" s="4" t="n">
        <v>158</v>
      </c>
      <c r="E68" s="4" t="n">
        <v>158</v>
      </c>
      <c r="F68" s="10" t="n">
        <v>100</v>
      </c>
      <c r="G68" s="12" t="inlineStr">
        <is>
          <t>PASS</t>
        </is>
      </c>
      <c r="H68" s="9" t="inlineStr"/>
      <c r="I68" s="9" t="inlineStr">
        <is>
          <t>JK_CTP_PPDS.CTP_Master_Routing; JK_CTP_PPDS.CTP_Master_ChangeoverMatrix; JK_CTP_PPDS.CTP_Master_BOM</t>
        </is>
      </c>
    </row>
    <row r="69">
      <c r="A69" s="4" t="inlineStr">
        <is>
          <t>Extrusion - Duplex (1801)</t>
        </is>
      </c>
      <c r="B69" s="4" t="inlineStr">
        <is>
          <t>BR-22 eligibility</t>
        </is>
      </c>
      <c r="C69" s="9" t="inlineStr">
        <is>
          <t>routed item lot runs on 1801</t>
        </is>
      </c>
      <c r="D69" s="4" t="n">
        <v>158</v>
      </c>
      <c r="E69" s="4" t="n">
        <v>158</v>
      </c>
      <c r="F69" s="10" t="n">
        <v>100</v>
      </c>
      <c r="G69" s="12" t="inlineStr">
        <is>
          <t>PASS</t>
        </is>
      </c>
      <c r="H69" s="9" t="inlineStr"/>
      <c r="I69" s="9" t="inlineStr">
        <is>
          <t>JK_CTP_PPDS.CTP_Master_Routing; JK_CTP_PPDS.CTP_Master_ChangeoverMatrix; JK_CTP_PPDS.CTP_Master_BOM</t>
        </is>
      </c>
    </row>
    <row r="70">
      <c r="A70" s="4" t="inlineStr">
        <is>
          <t>Extrusion - Duplex (1801)</t>
        </is>
      </c>
      <c r="B70" s="4" t="inlineStr">
        <is>
          <t>BR-23 line speed</t>
        </is>
      </c>
      <c r="C70" s="9" t="inlineStr">
        <is>
          <t>run time = metres / (routing M/MIN x eff) +- 1 min</t>
        </is>
      </c>
      <c r="D70" s="4" t="n">
        <v>158</v>
      </c>
      <c r="E70" s="4" t="n">
        <v>158</v>
      </c>
      <c r="F70" s="10" t="n">
        <v>100</v>
      </c>
      <c r="G70" s="12" t="inlineStr">
        <is>
          <t>PASS</t>
        </is>
      </c>
      <c r="H70" s="9" t="inlineStr">
        <is>
          <t>routed items with no speed (not scheduled here unless listed in the sequence): ['TR5012', 'TR5086', 'TR5090', 'TR5091', 'TR5097', 'TR5104', 'TR5110', 'TR5120']</t>
        </is>
      </c>
      <c r="I70" s="9" t="inlineStr">
        <is>
          <t>JK_CTP_PPDS.CTP_Master_Routing; JK_CTP_PPDS.CTP_Master_ChangeoverMatrix; JK_CTP_PPDS.CTP_Master_BOM</t>
        </is>
      </c>
    </row>
    <row r="71">
      <c r="A71" s="4" t="inlineStr">
        <is>
          <t>Extrusion - Duplex (1801)</t>
        </is>
      </c>
      <c r="B71" s="4" t="inlineStr">
        <is>
          <t>BR-24 matrix changeover</t>
        </is>
      </c>
      <c r="C71" s="9" t="inlineStr">
        <is>
          <t>gap before an item change &gt;= matrix time</t>
        </is>
      </c>
      <c r="D71" s="4" t="n">
        <v>148</v>
      </c>
      <c r="E71" s="4" t="n">
        <v>148</v>
      </c>
      <c r="F71" s="10" t="n">
        <v>100</v>
      </c>
      <c r="G71" s="12" t="inlineStr">
        <is>
          <t>PASS</t>
        </is>
      </c>
      <c r="H71" s="9" t="inlineStr">
        <is>
          <t>1 switches on pairs missing in the matrix, charged 14 min</t>
        </is>
      </c>
      <c r="I71" s="9" t="inlineStr">
        <is>
          <t>JK_CTP_PPDS.CTP_Master_Routing; JK_CTP_PPDS.CTP_Master_ChangeoverMatrix; JK_CTP_PPDS.CTP_Master_BOM</t>
        </is>
      </c>
    </row>
    <row r="72">
      <c r="A72" s="4" t="inlineStr">
        <is>
          <t>Extrusion - Duplex (1801)</t>
        </is>
      </c>
      <c r="B72" s="4" t="inlineStr">
        <is>
          <t>BR-25 sequencing</t>
        </is>
      </c>
      <c r="C72" s="9" t="inlineStr">
        <is>
          <t>switch is same die or same compound family</t>
        </is>
      </c>
      <c r="D72" s="4" t="n">
        <v>157</v>
      </c>
      <c r="E72" s="4" t="n">
        <v>155</v>
      </c>
      <c r="F72" s="4" t="n"/>
      <c r="G72" s="14" t="inlineStr">
        <is>
          <t>REPORT</t>
        </is>
      </c>
      <c r="H72" s="9" t="inlineStr">
        <is>
          <t>strict view (scored row: '... or coverage did not permit').</t>
        </is>
      </c>
      <c r="I72" s="9" t="inlineStr">
        <is>
          <t>JK_CTP_PPDS.CTP_Master_Routing; JK_CTP_PPDS.CTP_Master_ChangeoverMatrix; JK_CTP_PPDS.CTP_Master_BOM</t>
        </is>
      </c>
    </row>
    <row r="73">
      <c r="A73" s="4" t="inlineStr">
        <is>
          <t>Extrusion - Duplex (1801)</t>
        </is>
      </c>
      <c r="B73" s="4" t="inlineStr">
        <is>
          <t>BR-25 sequencing</t>
        </is>
      </c>
      <c r="C73" s="9" t="inlineStr">
        <is>
          <t>... or coverage did not permit a compatible lot next</t>
        </is>
      </c>
      <c r="D73" s="4" t="n">
        <v>157</v>
      </c>
      <c r="E73" s="4" t="n">
        <v>156</v>
      </c>
      <c r="F73" s="10" t="n">
        <v>99.36</v>
      </c>
      <c r="G73" s="11" t="inlineStr">
        <is>
          <t>PARTIAL</t>
        </is>
      </c>
      <c r="H73" s="9" t="inlineStr">
        <is>
          <t>1 switches where a compatible lot was available</t>
        </is>
      </c>
      <c r="I73" s="9" t="inlineStr">
        <is>
          <t>JK_CTP_PPDS.CTP_Master_Routing; JK_CTP_PPDS.CTP_Master_ChangeoverMatrix; JK_CTP_PPDS.CTP_Master_BOM</t>
        </is>
      </c>
    </row>
    <row r="74">
      <c r="A74" s="4" t="inlineStr">
        <is>
          <t>Extrusion - Duplex (1801)</t>
        </is>
      </c>
      <c r="B74" s="4" t="inlineStr">
        <is>
          <t>BR-25 sequencing</t>
        </is>
      </c>
      <c r="C74" s="9" t="inlineStr">
        <is>
          <t>plant day without repeated compound-family changes (switches = families - 1)</t>
        </is>
      </c>
      <c r="D74" s="4" t="n">
        <v>9</v>
      </c>
      <c r="E74" s="4" t="n">
        <v>8</v>
      </c>
      <c r="F74" s="10" t="n">
        <v>88.89</v>
      </c>
      <c r="G74" s="11" t="inlineStr">
        <is>
          <t>PARTIAL</t>
        </is>
      </c>
      <c r="H74" s="9" t="inlineStr">
        <is>
          <t>2 family switches vs minimum 1</t>
        </is>
      </c>
      <c r="I74" s="9" t="inlineStr">
        <is>
          <t>JK_CTP_PPDS.CTP_Master_Routing; JK_CTP_PPDS.CTP_Master_ChangeoverMatrix; JK_CTP_PPDS.CTP_Master_BOM</t>
        </is>
      </c>
    </row>
    <row r="75">
      <c r="A75" s="4" t="inlineStr">
        <is>
          <t>Extrusion - Triplex (1001)</t>
        </is>
      </c>
      <c r="B75" s="4" t="inlineStr">
        <is>
          <t>BR-26 eligibility</t>
        </is>
      </c>
      <c r="C75" s="9" t="inlineStr">
        <is>
          <t>lot on 1001 is routed to 1001</t>
        </is>
      </c>
      <c r="D75" s="4" t="n">
        <v>152</v>
      </c>
      <c r="E75" s="4" t="n">
        <v>152</v>
      </c>
      <c r="F75" s="10" t="n">
        <v>100</v>
      </c>
      <c r="G75" s="12" t="inlineStr">
        <is>
          <t>PASS</t>
        </is>
      </c>
      <c r="H75" s="9" t="inlineStr"/>
      <c r="I75" s="9" t="inlineStr">
        <is>
          <t>JK_CTP_PPDS.CTP_Master_Routing; JK_CTP_PPDS.CTP_Master_ChangeoverMatrix; JK_CTP_PPDS.CTP_Master_BOM</t>
        </is>
      </c>
    </row>
    <row r="76">
      <c r="A76" s="4" t="inlineStr">
        <is>
          <t>Extrusion - Triplex (1001)</t>
        </is>
      </c>
      <c r="B76" s="4" t="inlineStr">
        <is>
          <t>BR-26 eligibility</t>
        </is>
      </c>
      <c r="C76" s="9" t="inlineStr">
        <is>
          <t>routed item lot runs on 1001</t>
        </is>
      </c>
      <c r="D76" s="4" t="n">
        <v>152</v>
      </c>
      <c r="E76" s="4" t="n">
        <v>152</v>
      </c>
      <c r="F76" s="10" t="n">
        <v>100</v>
      </c>
      <c r="G76" s="12" t="inlineStr">
        <is>
          <t>PASS</t>
        </is>
      </c>
      <c r="H76" s="9" t="inlineStr"/>
      <c r="I76" s="9" t="inlineStr">
        <is>
          <t>JK_CTP_PPDS.CTP_Master_Routing; JK_CTP_PPDS.CTP_Master_ChangeoverMatrix; JK_CTP_PPDS.CTP_Master_BOM</t>
        </is>
      </c>
    </row>
    <row r="77">
      <c r="A77" s="4" t="inlineStr">
        <is>
          <t>Extrusion - Triplex (1001)</t>
        </is>
      </c>
      <c r="B77" s="4" t="inlineStr">
        <is>
          <t>BR-27 line speed</t>
        </is>
      </c>
      <c r="C77" s="9" t="inlineStr">
        <is>
          <t>run time = metres / (routing M/MIN x eff) +- 1 min</t>
        </is>
      </c>
      <c r="D77" s="4" t="n">
        <v>149</v>
      </c>
      <c r="E77" s="4" t="n">
        <v>149</v>
      </c>
      <c r="F77" s="10" t="n">
        <v>100</v>
      </c>
      <c r="G77" s="12" t="inlineStr">
        <is>
          <t>PASS</t>
        </is>
      </c>
      <c r="H77" s="9" t="inlineStr">
        <is>
          <t>routed items with no speed (not scheduled here unless listed in the sequence): ['SUSSW01', 'SUSSW02', 'SW03SUS', 'SWRS30', 'SWRS63', 'SWRS65']</t>
        </is>
      </c>
      <c r="I77" s="9" t="inlineStr">
        <is>
          <t>JK_CTP_PPDS.CTP_Master_Routing; JK_CTP_PPDS.CTP_Master_ChangeoverMatrix; JK_CTP_PPDS.CTP_Master_BOM</t>
        </is>
      </c>
    </row>
    <row r="78">
      <c r="A78" s="4" t="inlineStr">
        <is>
          <t>Extrusion - Triplex (1001)</t>
        </is>
      </c>
      <c r="B78" s="4" t="inlineStr">
        <is>
          <t>BR-28 matrix changeover</t>
        </is>
      </c>
      <c r="C78" s="9" t="inlineStr">
        <is>
          <t>gap before an item change &gt;= matrix time</t>
        </is>
      </c>
      <c r="D78" s="4" t="n">
        <v>134</v>
      </c>
      <c r="E78" s="4" t="n">
        <v>134</v>
      </c>
      <c r="F78" s="10" t="n">
        <v>100</v>
      </c>
      <c r="G78" s="12" t="inlineStr">
        <is>
          <t>PASS</t>
        </is>
      </c>
      <c r="H78" s="9" t="inlineStr">
        <is>
          <t>2 switches on pairs missing in the matrix, charged 28 min</t>
        </is>
      </c>
      <c r="I78" s="9" t="inlineStr">
        <is>
          <t>JK_CTP_PPDS.CTP_Master_Routing; JK_CTP_PPDS.CTP_Master_ChangeoverMatrix; JK_CTP_PPDS.CTP_Master_BOM</t>
        </is>
      </c>
    </row>
    <row r="79">
      <c r="A79" s="4" t="inlineStr">
        <is>
          <t>Extrusion - Triplex (1001)</t>
        </is>
      </c>
      <c r="B79" s="4" t="inlineStr">
        <is>
          <t>BR-28 sequencing</t>
        </is>
      </c>
      <c r="C79" s="9" t="inlineStr">
        <is>
          <t>switch is same die or same compound family</t>
        </is>
      </c>
      <c r="D79" s="4" t="n">
        <v>151</v>
      </c>
      <c r="E79" s="4" t="n">
        <v>115</v>
      </c>
      <c r="F79" s="4" t="n"/>
      <c r="G79" s="14" t="inlineStr">
        <is>
          <t>REPORT</t>
        </is>
      </c>
      <c r="H79" s="9" t="inlineStr">
        <is>
          <t>strict view (scored row: '... or coverage did not permit').</t>
        </is>
      </c>
      <c r="I79" s="9" t="inlineStr">
        <is>
          <t>JK_CTP_PPDS.CTP_Master_Routing; JK_CTP_PPDS.CTP_Master_ChangeoverMatrix; JK_CTP_PPDS.CTP_Master_BOM</t>
        </is>
      </c>
    </row>
    <row r="80">
      <c r="A80" s="4" t="inlineStr">
        <is>
          <t>Extrusion - Triplex (1001)</t>
        </is>
      </c>
      <c r="B80" s="4" t="inlineStr">
        <is>
          <t>BR-28 sequencing</t>
        </is>
      </c>
      <c r="C80" s="9" t="inlineStr">
        <is>
          <t>... or coverage did not permit a compatible lot next</t>
        </is>
      </c>
      <c r="D80" s="4" t="n">
        <v>151</v>
      </c>
      <c r="E80" s="4" t="n">
        <v>129</v>
      </c>
      <c r="F80" s="10" t="n">
        <v>85.43000000000001</v>
      </c>
      <c r="G80" s="11" t="inlineStr">
        <is>
          <t>PARTIAL</t>
        </is>
      </c>
      <c r="H80" s="9" t="inlineStr">
        <is>
          <t>22 switches where a compatible lot was available</t>
        </is>
      </c>
      <c r="I80" s="9" t="inlineStr">
        <is>
          <t>JK_CTP_PPDS.CTP_Master_Routing; JK_CTP_PPDS.CTP_Master_ChangeoverMatrix; JK_CTP_PPDS.CTP_Master_BOM</t>
        </is>
      </c>
    </row>
    <row r="81">
      <c r="A81" s="4" t="inlineStr">
        <is>
          <t>Extrusion - Triplex (1001)</t>
        </is>
      </c>
      <c r="B81" s="4" t="inlineStr">
        <is>
          <t>BR-28 sequencing</t>
        </is>
      </c>
      <c r="C81" s="9" t="inlineStr">
        <is>
          <t>plant day without repeated compound-family changes (switches = families - 1)</t>
        </is>
      </c>
      <c r="D81" s="4" t="n">
        <v>11</v>
      </c>
      <c r="E81" s="4" t="n">
        <v>1</v>
      </c>
      <c r="F81" s="10" t="n">
        <v>9.09</v>
      </c>
      <c r="G81" s="15" t="inlineStr">
        <is>
          <t>FAIL</t>
        </is>
      </c>
      <c r="H81" s="9" t="inlineStr">
        <is>
          <t>33 family switches vs minimum 17</t>
        </is>
      </c>
      <c r="I81" s="9" t="inlineStr">
        <is>
          <t>JK_CTP_PPDS.CTP_Master_Routing; JK_CTP_PPDS.CTP_Master_ChangeoverMatrix; JK_CTP_PPDS.CTP_Master_BOM</t>
        </is>
      </c>
    </row>
    <row r="82">
      <c r="A82" s="4" t="inlineStr">
        <is>
          <t>Extrusion - Quadraplex (1803)</t>
        </is>
      </c>
      <c r="B82" s="4" t="inlineStr">
        <is>
          <t>BR-29 eligibility</t>
        </is>
      </c>
      <c r="C82" s="9" t="inlineStr">
        <is>
          <t>lot on 1803 is routed to 1803</t>
        </is>
      </c>
      <c r="D82" s="4" t="n">
        <v>111</v>
      </c>
      <c r="E82" s="4" t="n">
        <v>111</v>
      </c>
      <c r="F82" s="10" t="n">
        <v>100</v>
      </c>
      <c r="G82" s="12" t="inlineStr">
        <is>
          <t>PASS</t>
        </is>
      </c>
      <c r="H82" s="9" t="inlineStr"/>
      <c r="I82" s="9" t="inlineStr">
        <is>
          <t>JK_CTP_PPDS.CTP_Master_Routing; JK_CTP_PPDS.CTP_Master_ChangeoverMatrix; JK_CTP_PPDS.CTP_Master_BOM</t>
        </is>
      </c>
    </row>
    <row r="83">
      <c r="A83" s="4" t="inlineStr">
        <is>
          <t>Extrusion - Quadraplex (1803)</t>
        </is>
      </c>
      <c r="B83" s="4" t="inlineStr">
        <is>
          <t>BR-29 eligibility</t>
        </is>
      </c>
      <c r="C83" s="9" t="inlineStr">
        <is>
          <t>routed item lot runs on 1803</t>
        </is>
      </c>
      <c r="D83" s="4" t="n">
        <v>111</v>
      </c>
      <c r="E83" s="4" t="n">
        <v>111</v>
      </c>
      <c r="F83" s="10" t="n">
        <v>100</v>
      </c>
      <c r="G83" s="12" t="inlineStr">
        <is>
          <t>PASS</t>
        </is>
      </c>
      <c r="H83" s="9" t="inlineStr"/>
      <c r="I83" s="9" t="inlineStr">
        <is>
          <t>JK_CTP_PPDS.CTP_Master_Routing; JK_CTP_PPDS.CTP_Master_ChangeoverMatrix; JK_CTP_PPDS.CTP_Master_BOM</t>
        </is>
      </c>
    </row>
    <row r="84">
      <c r="A84" s="4" t="inlineStr">
        <is>
          <t>Extrusion - Quadraplex (1803)</t>
        </is>
      </c>
      <c r="B84" s="4" t="inlineStr">
        <is>
          <t>BR-30 line speed</t>
        </is>
      </c>
      <c r="C84" s="9" t="inlineStr">
        <is>
          <t>run time = metres / (routing M/MIN x eff) +- 1 min</t>
        </is>
      </c>
      <c r="D84" s="4" t="n">
        <v>111</v>
      </c>
      <c r="E84" s="4" t="n">
        <v>111</v>
      </c>
      <c r="F84" s="10" t="n">
        <v>100</v>
      </c>
      <c r="G84" s="12" t="inlineStr">
        <is>
          <t>PASS</t>
        </is>
      </c>
      <c r="H84" s="9" t="inlineStr">
        <is>
          <t>routed items with no speed (not scheduled here unless listed in the sequence): ['TSW-024']</t>
        </is>
      </c>
      <c r="I84" s="9" t="inlineStr">
        <is>
          <t>JK_CTP_PPDS.CTP_Master_Routing; JK_CTP_PPDS.CTP_Master_ChangeoverMatrix; JK_CTP_PPDS.CTP_Master_BOM</t>
        </is>
      </c>
    </row>
    <row r="85">
      <c r="A85" s="4" t="inlineStr">
        <is>
          <t>Extrusion - Quadraplex (1803)</t>
        </is>
      </c>
      <c r="B85" s="4" t="inlineStr">
        <is>
          <t>BR-31 matrix changeover</t>
        </is>
      </c>
      <c r="C85" s="9" t="inlineStr">
        <is>
          <t>gap before an item change &gt;= matrix time</t>
        </is>
      </c>
      <c r="D85" s="4" t="n">
        <v>102</v>
      </c>
      <c r="E85" s="4" t="n">
        <v>102</v>
      </c>
      <c r="F85" s="10" t="n">
        <v>100</v>
      </c>
      <c r="G85" s="12" t="inlineStr">
        <is>
          <t>PASS</t>
        </is>
      </c>
      <c r="H85" s="9" t="inlineStr"/>
      <c r="I85" s="9" t="inlineStr">
        <is>
          <t>JK_CTP_PPDS.CTP_Master_Routing; JK_CTP_PPDS.CTP_Master_ChangeoverMatrix; JK_CTP_PPDS.CTP_Master_BOM</t>
        </is>
      </c>
    </row>
    <row r="86">
      <c r="A86" s="4" t="inlineStr">
        <is>
          <t>Extrusion - Quadraplex (1803)</t>
        </is>
      </c>
      <c r="B86" s="4" t="inlineStr">
        <is>
          <t>BR-32 sequencing</t>
        </is>
      </c>
      <c r="C86" s="9" t="inlineStr">
        <is>
          <t>switch is same die or same compound family</t>
        </is>
      </c>
      <c r="D86" s="4" t="n">
        <v>110</v>
      </c>
      <c r="E86" s="4" t="n">
        <v>85</v>
      </c>
      <c r="F86" s="4" t="n"/>
      <c r="G86" s="14" t="inlineStr">
        <is>
          <t>REPORT</t>
        </is>
      </c>
      <c r="H86" s="9" t="inlineStr">
        <is>
          <t>strict view (scored row: '... or coverage did not permit').</t>
        </is>
      </c>
      <c r="I86" s="9" t="inlineStr">
        <is>
          <t>JK_CTP_PPDS.CTP_Master_Routing; JK_CTP_PPDS.CTP_Master_ChangeoverMatrix; JK_CTP_PPDS.CTP_Master_BOM</t>
        </is>
      </c>
    </row>
    <row r="87">
      <c r="A87" s="4" t="inlineStr">
        <is>
          <t>Extrusion - Quadraplex (1803)</t>
        </is>
      </c>
      <c r="B87" s="4" t="inlineStr">
        <is>
          <t>BR-32 sequencing</t>
        </is>
      </c>
      <c r="C87" s="9" t="inlineStr">
        <is>
          <t>... or coverage did not permit a compatible lot next</t>
        </is>
      </c>
      <c r="D87" s="4" t="n">
        <v>110</v>
      </c>
      <c r="E87" s="4" t="n">
        <v>94</v>
      </c>
      <c r="F87" s="10" t="n">
        <v>85.45</v>
      </c>
      <c r="G87" s="11" t="inlineStr">
        <is>
          <t>PARTIAL</t>
        </is>
      </c>
      <c r="H87" s="9" t="inlineStr">
        <is>
          <t>16 switches where a compatible lot was available</t>
        </is>
      </c>
      <c r="I87" s="9" t="inlineStr">
        <is>
          <t>JK_CTP_PPDS.CTP_Master_Routing; JK_CTP_PPDS.CTP_Master_ChangeoverMatrix; JK_CTP_PPDS.CTP_Master_BOM</t>
        </is>
      </c>
    </row>
    <row r="88">
      <c r="A88" s="4" t="inlineStr">
        <is>
          <t>Extrusion - Quadraplex (1803)</t>
        </is>
      </c>
      <c r="B88" s="4" t="inlineStr">
        <is>
          <t>BR-32 sequencing</t>
        </is>
      </c>
      <c r="C88" s="9" t="inlineStr">
        <is>
          <t>plant day without repeated compound-family changes (switches = families - 1)</t>
        </is>
      </c>
      <c r="D88" s="4" t="n">
        <v>10</v>
      </c>
      <c r="E88" s="4" t="n">
        <v>3</v>
      </c>
      <c r="F88" s="10" t="n">
        <v>30</v>
      </c>
      <c r="G88" s="15" t="inlineStr">
        <is>
          <t>FAIL</t>
        </is>
      </c>
      <c r="H88" s="9" t="inlineStr">
        <is>
          <t>22 family switches vs minimum 9</t>
        </is>
      </c>
      <c r="I88" s="9" t="inlineStr">
        <is>
          <t>JK_CTP_PPDS.CTP_Master_Routing; JK_CTP_PPDS.CTP_Master_ChangeoverMatrix; JK_CTP_PPDS.CTP_Master_BOM</t>
        </is>
      </c>
    </row>
    <row r="89">
      <c r="A89" s="4" t="inlineStr">
        <is>
          <t>General rules</t>
        </is>
      </c>
      <c r="B89" s="4" t="inlineStr">
        <is>
          <t>BR-1</t>
        </is>
      </c>
      <c r="C89" s="9" t="inlineStr">
        <is>
          <t>building row on its planned TBM</t>
        </is>
      </c>
      <c r="D89" s="4" t="n">
        <v>855</v>
      </c>
      <c r="E89" s="4" t="n">
        <v>855</v>
      </c>
      <c r="F89" s="10" t="n">
        <v>100</v>
      </c>
      <c r="G89" s="12" t="inlineStr">
        <is>
          <t>PASS</t>
        </is>
      </c>
      <c r="H89" s="9" t="inlineStr"/>
      <c r="I89" s="9" t="inlineStr">
        <is>
          <t>plan files (latest_plan_file); JK_CTP_PPDS.CTP_Master_Routing</t>
        </is>
      </c>
    </row>
    <row r="90">
      <c r="A90" s="4" t="inlineStr">
        <is>
          <t>General rules</t>
        </is>
      </c>
      <c r="B90" s="4" t="inlineStr">
        <is>
          <t>BR-1</t>
        </is>
      </c>
      <c r="C90" s="9" t="inlineStr">
        <is>
          <t>building row starts in its plan shift</t>
        </is>
      </c>
      <c r="D90" s="4" t="n">
        <v>855</v>
      </c>
      <c r="E90" s="4" t="n">
        <v>87</v>
      </c>
      <c r="F90" s="4" t="n"/>
      <c r="G90" s="13" t="inlineStr">
        <is>
          <t>NOT SCORED</t>
        </is>
      </c>
      <c r="H90" s="9" t="inlineStr">
        <is>
          <t>NOT SCORED: switched off in this version (config) -- measured only. early 18 (max 23.8 h), late 750 (kit 440), median slip 35.5 h</t>
        </is>
      </c>
      <c r="I90" s="9" t="inlineStr">
        <is>
          <t>plan files (latest_plan_file); JK_CTP_PPDS.CTP_Master_Routing</t>
        </is>
      </c>
    </row>
    <row r="91">
      <c r="A91" s="4" t="inlineStr">
        <is>
          <t>General rules</t>
        </is>
      </c>
      <c r="B91" s="4" t="inlineStr">
        <is>
          <t>BR-2</t>
        </is>
      </c>
      <c r="C91" s="9" t="inlineStr">
        <is>
          <t>opening stock = shift-start snapshot; lots sized on net demand</t>
        </is>
      </c>
      <c r="D91" s="4" t="n">
        <v>1</v>
      </c>
      <c r="E91" s="4" t="n">
        <v>1</v>
      </c>
      <c r="F91" s="10" t="n">
        <v>100</v>
      </c>
      <c r="G91" s="12" t="inlineStr">
        <is>
          <t>PASS</t>
        </is>
      </c>
      <c r="H91" s="9" t="inlineStr">
        <is>
          <t>JK_CTP_PPDS.CTP_Opening_WIP snapshot 2026-10-12 06:31:40.652 -&gt; 12,382 rows + 0 compound rows from the old feed (not in the snapshot) | made 15,377,982 vs net demand 15,200,727 (+1.2% MPQ / batch / buffer)</t>
        </is>
      </c>
      <c r="I91" s="9" t="inlineStr">
        <is>
          <t>JK_CTP_PPDS.CTP_Opening_WIP; JK_CTP_PPDS.CTP_Master_BOM</t>
        </is>
      </c>
    </row>
    <row r="92">
      <c r="A92" s="4" t="inlineStr">
        <is>
          <t>General rules</t>
        </is>
      </c>
      <c r="B92" s="4" t="inlineStr">
        <is>
          <t>BR-3</t>
        </is>
      </c>
      <c r="C92" s="9" t="inlineStr">
        <is>
          <t>cure block not waiting for green tyres (press fed)</t>
        </is>
      </c>
      <c r="D92" s="4" t="n">
        <v>4903</v>
      </c>
      <c r="E92" s="4" t="n">
        <v>4865</v>
      </c>
      <c r="F92" s="10" t="n">
        <v>99.22</v>
      </c>
      <c r="G92" s="11" t="inlineStr">
        <is>
          <t>PARTIAL</t>
        </is>
      </c>
      <c r="H92" s="9" t="inlineStr">
        <is>
          <t>kit status: {'READY': 4865, 'UNKNOWN': 30, 'SHORT': 8}</t>
        </is>
      </c>
      <c r="I92" s="9" t="inlineStr">
        <is>
          <t>plan files (latest_plan_file); JK_CTP_PPDS.CTP_Opening_WIP</t>
        </is>
      </c>
    </row>
    <row r="93">
      <c r="A93" s="4" t="inlineStr">
        <is>
          <t>General rules</t>
        </is>
      </c>
      <c r="B93" s="4" t="inlineStr">
        <is>
          <t>BR-4</t>
        </is>
      </c>
      <c r="C93" s="9" t="inlineStr">
        <is>
          <t>approved machine / item (upstream)</t>
        </is>
      </c>
      <c r="D93" s="4" t="n">
        <v>3939</v>
      </c>
      <c r="E93" s="4" t="n">
        <v>3939</v>
      </c>
      <c r="F93" s="10" t="n">
        <v>100</v>
      </c>
      <c r="G93" s="12" t="inlineStr">
        <is>
          <t>PASS</t>
        </is>
      </c>
      <c r="H93" s="9" t="inlineStr">
        <is>
          <t>0 of 3939 upstream lots on a non-routed machine</t>
        </is>
      </c>
      <c r="I93" s="9" t="inlineStr">
        <is>
          <t>JK_CTP_PPDS.CTP_Master_Routing</t>
        </is>
      </c>
    </row>
    <row r="94">
      <c r="A94" s="4" t="inlineStr">
        <is>
          <t>General rules</t>
        </is>
      </c>
      <c r="B94" s="4" t="inlineStr">
        <is>
          <t>BR-7</t>
        </is>
      </c>
      <c r="C94" s="9" t="inlineStr">
        <is>
          <t>item change &gt;= matrix time (matrix-mapped machines)</t>
        </is>
      </c>
      <c r="D94" s="4" t="n">
        <v>2258</v>
      </c>
      <c r="E94" s="4" t="n">
        <v>2258</v>
      </c>
      <c r="F94" s="10" t="n">
        <v>100</v>
      </c>
      <c r="G94" s="12" t="inlineStr">
        <is>
          <t>PASS</t>
        </is>
      </c>
      <c r="H94" s="9" t="inlineStr">
        <is>
          <t>2258 item changes on 23 matrix-mapped machines checked, 0 shorter than the matrix</t>
        </is>
      </c>
      <c r="I94" s="9" t="inlineStr">
        <is>
          <t>JK_CTP_PPDS.CTP_Master_ChangeoverMatrix</t>
        </is>
      </c>
    </row>
    <row r="95">
      <c r="A95" s="4" t="inlineStr">
        <is>
          <t>General rules</t>
        </is>
      </c>
      <c r="B95" s="4" t="inlineStr">
        <is>
          <t>BR-10</t>
        </is>
      </c>
      <c r="C95" s="9" t="inlineStr">
        <is>
          <t>no lot inside a PM / MTC window</t>
        </is>
      </c>
      <c r="D95" s="4" t="n">
        <v>1</v>
      </c>
      <c r="E95" s="4" t="n">
        <v>1</v>
      </c>
      <c r="F95" s="10" t="n">
        <v>100</v>
      </c>
      <c r="G95" s="12" t="inlineStr">
        <is>
          <t>PASS</t>
        </is>
      </c>
      <c r="H95" s="9" t="inlineStr">
        <is>
          <t>74 downtime_reason windows (0 inside the run); 0 scheduled blocks overlap one</t>
        </is>
      </c>
      <c r="I95" s="9" t="inlineStr">
        <is>
          <t>jkplanning_CTP.downtime_reason</t>
        </is>
      </c>
    </row>
    <row r="96">
      <c r="A96" s="4" t="inlineStr">
        <is>
          <t>General rules</t>
        </is>
      </c>
      <c r="B96" s="4" t="inlineStr">
        <is>
          <t>BR-7</t>
        </is>
      </c>
      <c r="C96" s="9" t="inlineStr">
        <is>
          <t>machines without a matrix line (flat default)</t>
        </is>
      </c>
      <c r="D96" s="4" t="n">
        <v>1</v>
      </c>
      <c r="E96" s="4" t="n">
        <v>0</v>
      </c>
      <c r="F96" s="4" t="n"/>
      <c r="G96" s="16" t="inlineStr">
        <is>
          <t>NO DATA</t>
        </is>
      </c>
      <c r="H96" s="9" t="inlineStr">
        <is>
          <t>NO DATA: 6 upstream machines have NO matrix line -&gt; flat default used</t>
        </is>
      </c>
      <c r="I96" s="9" t="inlineStr">
        <is>
          <t>JK_CTP_PPDS.CTP_Master_ChangeoverMatrix</t>
        </is>
      </c>
    </row>
    <row r="97">
      <c r="A97" s="4" t="inlineStr">
        <is>
          <t>General rules</t>
        </is>
      </c>
      <c r="B97" s="4" t="inlineStr">
        <is>
          <t>BR-10</t>
        </is>
      </c>
      <c r="C97" s="9" t="inlineStr">
        <is>
          <t>cutter shear change excluded from available minutes</t>
        </is>
      </c>
      <c r="D97" s="4" t="n">
        <v>1</v>
      </c>
      <c r="E97" s="4" t="n">
        <v>0</v>
      </c>
      <c r="F97" s="4" t="n"/>
      <c r="G97" s="16" t="inlineStr">
        <is>
          <t>NO DATA</t>
        </is>
      </c>
      <c r="H97" s="9" t="inlineStr">
        <is>
          <t>NO DATA: NO DATA: no shear-change master in JK_CTP_PPDS</t>
        </is>
      </c>
      <c r="I97" s="9" t="inlineStr">
        <is>
          <t>jkplanning_CTP.downtime_reason</t>
        </is>
      </c>
    </row>
    <row r="98">
      <c r="A98" s="4" t="inlineStr">
        <is>
          <t>General rules</t>
        </is>
      </c>
      <c r="B98" s="4" t="inlineStr">
        <is>
          <t>BR-5</t>
        </is>
      </c>
      <c r="C98" s="9" t="inlineStr">
        <is>
          <t>lot run time = routing-based duration (+- 1 min)</t>
        </is>
      </c>
      <c r="D98" s="4" t="n">
        <v>3933</v>
      </c>
      <c r="E98" s="4" t="n">
        <v>3933</v>
      </c>
      <c r="F98" s="10" t="n">
        <v>100</v>
      </c>
      <c r="G98" s="12" t="inlineStr">
        <is>
          <t>PASS</t>
        </is>
      </c>
      <c r="H98" s="9" t="inlineStr"/>
      <c r="I98" s="9" t="inlineStr">
        <is>
          <t>JK_CTP_PPDS.CTP_Master_Routing</t>
        </is>
      </c>
    </row>
    <row r="99">
      <c r="A99" s="4" t="inlineStr">
        <is>
          <t>General rules</t>
        </is>
      </c>
      <c r="B99" s="4" t="inlineStr">
        <is>
          <t>BR-8</t>
        </is>
      </c>
      <c r="C99" s="9" t="inlineStr">
        <is>
          <t>machine-day without repeated family changes (switches = families - 1)</t>
        </is>
      </c>
      <c r="D99" s="4" t="n">
        <v>216</v>
      </c>
      <c r="E99" s="4" t="n">
        <v>87</v>
      </c>
      <c r="F99" s="4" t="n"/>
      <c r="G99" s="13" t="inlineStr">
        <is>
          <t>NOT SCORED</t>
        </is>
      </c>
      <c r="H99" s="9" t="inlineStr">
        <is>
          <t>NOT SCORED: switched off in this version (config) -- measured only. 1350 family switches vs minimum 667 on 19 machines</t>
        </is>
      </c>
      <c r="I99" s="9" t="inlineStr">
        <is>
          <t>JK_CTP_PPDS.CTP_Master_BOM; JK_CTP_PPDS.CTP_Master_ChangeoverMatrix</t>
        </is>
      </c>
    </row>
    <row r="100">
      <c r="A100" s="4" t="inlineStr">
        <is>
          <t>General rules</t>
        </is>
      </c>
      <c r="B100" s="4" t="inlineStr">
        <is>
          <t>BR-9</t>
        </is>
      </c>
      <c r="C100" s="9" t="inlineStr">
        <is>
          <t>(machine, shift, item) in one block</t>
        </is>
      </c>
      <c r="D100" s="4" t="n">
        <v>3358</v>
      </c>
      <c r="E100" s="4" t="n">
        <v>3210</v>
      </c>
      <c r="F100" s="4" t="n"/>
      <c r="G100" s="13" t="inlineStr">
        <is>
          <t>NOT SCORED</t>
        </is>
      </c>
      <c r="H100" s="9" t="inlineStr">
        <is>
          <t>NOT SCORED: switched off in this version (config) -- measured only. split: {'1001': 4, '1002': 7, '1101': 2, '1102': 5, '1103': 4, '1104': 7, '1201': 5, '1801': 1, '1803': 6, '1901': 4, '201': 5, '202': 1, '2101': 37, '2201': 4, '601': 3, '801': 34, '802': 19}</t>
        </is>
      </c>
      <c r="I100" s="9" t="inlineStr">
        <is>
          <t>JK_CTP_PPDS.CTP_Master_Routing</t>
        </is>
      </c>
    </row>
    <row r="101">
      <c r="A101" s="4" t="inlineStr">
        <is>
          <t>General rules</t>
        </is>
      </c>
      <c r="B101" s="4" t="inlineStr">
        <is>
          <t>BR-12</t>
        </is>
      </c>
      <c r="C101" s="9" t="inlineStr">
        <is>
          <t>DAG edge not consumed past max aging (plan report)</t>
        </is>
      </c>
      <c r="D101" s="4" t="n">
        <v>7785</v>
      </c>
      <c r="E101" s="4" t="n">
        <v>7189</v>
      </c>
      <c r="F101" s="4" t="n"/>
      <c r="G101" s="14" t="inlineStr">
        <is>
          <t>REPORT</t>
        </is>
      </c>
      <c r="H101" s="9" t="inlineStr">
        <is>
          <t>596 expired edges, median 12.1 h over</t>
        </is>
      </c>
      <c r="I101" s="9" t="inlineStr">
        <is>
          <t>JK_CTP_PPDS.CTP_Master_Aging; JK_CTP_PPDS.CTP_Master_Routing</t>
        </is>
      </c>
    </row>
    <row r="102">
      <c r="A102" s="4" t="inlineStr">
        <is>
          <t>General rules</t>
        </is>
      </c>
      <c r="B102" s="4" t="inlineStr">
        <is>
          <t>BR-12</t>
        </is>
      </c>
      <c r="C102" s="9" t="inlineStr">
        <is>
          <t>DAG edge not consumed before min aging</t>
        </is>
      </c>
      <c r="D102" s="4" t="n">
        <v>7785</v>
      </c>
      <c r="E102" s="4" t="n">
        <v>7667</v>
      </c>
      <c r="F102" s="10" t="n">
        <v>98.48</v>
      </c>
      <c r="G102" s="11" t="inlineStr">
        <is>
          <t>PARTIAL</t>
        </is>
      </c>
      <c r="H102" s="9" t="inlineStr"/>
      <c r="I102" s="9" t="inlineStr">
        <is>
          <t>JK_CTP_PPDS.CTP_Master_Aging; JK_CTP_PPDS.CTP_Master_Routing</t>
        </is>
      </c>
    </row>
    <row r="103">
      <c r="A103" s="4" t="inlineStr">
        <is>
          <t>General rules</t>
        </is>
      </c>
      <c r="B103" s="4" t="inlineStr">
        <is>
          <t>BR-12</t>
        </is>
      </c>
      <c r="C103" s="9" t="inlineStr">
        <is>
          <t>no green tyre cured over 72 h</t>
        </is>
      </c>
      <c r="D103" s="4" t="n">
        <v>1</v>
      </c>
      <c r="E103" s="4" t="n">
        <v>1</v>
      </c>
      <c r="F103" s="10" t="n">
        <v>100</v>
      </c>
      <c r="G103" s="12" t="inlineStr">
        <is>
          <t>PASS</t>
        </is>
      </c>
      <c r="H103" s="9" t="inlineStr">
        <is>
          <t>GT SHELF LIFE] 276 green tyres scrapped (past 72 h before a press could take them); none cured over age</t>
        </is>
      </c>
      <c r="I103" s="9" t="inlineStr">
        <is>
          <t>JK_CTP_PPDS.CTP_Master_Aging; JK_CTP_PPDS.CTP_Master_Routing</t>
        </is>
      </c>
    </row>
    <row r="104">
      <c r="A104" s="4" t="inlineStr">
        <is>
          <t>General rules</t>
        </is>
      </c>
      <c r="B104" s="4" t="inlineStr">
        <is>
          <t>BR-14</t>
        </is>
      </c>
      <c r="C104" s="9" t="inlineStr">
        <is>
          <t>upstream item change outside the first / last 30 min of a shift</t>
        </is>
      </c>
      <c r="D104" s="4" t="n">
        <v>3310</v>
      </c>
      <c r="E104" s="4" t="n">
        <v>2914</v>
      </c>
      <c r="F104" s="4" t="n"/>
      <c r="G104" s="13" t="inlineStr">
        <is>
          <t>NOT SCORED</t>
        </is>
      </c>
      <c r="H104" s="9" t="inlineStr">
        <is>
          <t xml:space="preserve">NOT SCORED: switched off in this version (config) -- measured only. </t>
        </is>
      </c>
      <c r="I104" s="9" t="inlineStr">
        <is>
          <t>JK_CTP_PPDS.CTP_Master_ChangeoverMatrix</t>
        </is>
      </c>
    </row>
    <row r="105">
      <c r="A105" s="4" t="inlineStr">
        <is>
          <t>General rules</t>
        </is>
      </c>
      <c r="B105" s="4" t="inlineStr">
        <is>
          <t>BR-16</t>
        </is>
      </c>
      <c r="C105" s="9" t="inlineStr">
        <is>
          <t>report: average lots per continuous run / changeovers per machine-day</t>
        </is>
      </c>
      <c r="D105" s="4" t="n">
        <v>1</v>
      </c>
      <c r="E105" s="4" t="n">
        <v>1</v>
      </c>
      <c r="F105" s="4" t="n"/>
      <c r="G105" s="14" t="inlineStr">
        <is>
          <t>REPORT</t>
        </is>
      </c>
      <c r="H105" s="9" t="inlineStr">
        <is>
          <t>1.18 lots per run; 9.0 changeovers per machine-day; family passes on 23 machines</t>
        </is>
      </c>
      <c r="I105" s="9" t="inlineStr">
        <is>
          <t>JK_CTP_PPDS.CTP_Master_ChangeoverMatrix; JK_CTP_PPDS.CTP_Master_BOM</t>
        </is>
      </c>
    </row>
    <row r="106">
      <c r="A106" s="4" t="inlineStr">
        <is>
          <t>General rules</t>
        </is>
      </c>
      <c r="B106" s="4" t="inlineStr">
        <is>
          <t>BR-15</t>
        </is>
      </c>
      <c r="C106" s="9" t="inlineStr">
        <is>
          <t>plan from the shift-start WIP snapshot (refresh: run_shift_refresh.py each shift)</t>
        </is>
      </c>
      <c r="D106" s="4" t="n">
        <v>1</v>
      </c>
      <c r="E106" s="4" t="n">
        <v>1</v>
      </c>
      <c r="F106" s="10" t="n">
        <v>100</v>
      </c>
      <c r="G106" s="12" t="inlineStr">
        <is>
          <t>PASS</t>
        </is>
      </c>
      <c r="H106" s="9" t="inlineStr">
        <is>
          <t>JK_CTP_PPDS.CTP_Opening_WIP snapshot 2026-10-12 06:31:40.652 -&gt; 12,382 rows + 0 compound rows from t | executed-production feed not in the DB yet</t>
        </is>
      </c>
      <c r="I106" s="9" t="inlineStr">
        <is>
          <t>JK_CTP_PPDS.CTP_Opening_WIP; jkplanning_CTP.downtime_reason; plan files (latest_plan_file)</t>
        </is>
      </c>
    </row>
    <row r="107">
      <c r="A107" s="4" t="inlineStr">
        <is>
          <t>General rules</t>
        </is>
      </c>
      <c r="B107" s="4" t="inlineStr">
        <is>
          <t>BR-17</t>
        </is>
      </c>
      <c r="C107" s="9" t="inlineStr">
        <is>
          <t>live JK_CTP_PPDS masters, current rows, data stamp + overrides in README</t>
        </is>
      </c>
      <c r="D107" s="4" t="n">
        <v>1</v>
      </c>
      <c r="E107" s="4" t="n">
        <v>1</v>
      </c>
      <c r="F107" s="10" t="n">
        <v>100</v>
      </c>
      <c r="G107" s="12" t="inlineStr">
        <is>
          <t>PASS</t>
        </is>
      </c>
      <c r="H107" s="9" t="inlineStr">
        <is>
          <t>1 tables read LIVE</t>
        </is>
      </c>
      <c r="I107" s="9" t="inlineStr">
        <is>
          <t>all JK_CTP_PPDS masters (live)</t>
        </is>
      </c>
    </row>
    <row r="108">
      <c r="A108" s="4" t="inlineStr">
        <is>
          <t>IL / calendering</t>
        </is>
      </c>
      <c r="B108" s="4" t="inlineStr">
        <is>
          <t>BR-37</t>
        </is>
      </c>
      <c r="C108" s="9" t="inlineStr">
        <is>
          <t>IL lot covers &lt;= 24 h of building need (no early / excess IL)</t>
        </is>
      </c>
      <c r="D108" s="4" t="n">
        <v>349</v>
      </c>
      <c r="E108" s="4" t="n">
        <v>334</v>
      </c>
      <c r="F108" s="4" t="n"/>
      <c r="G108" s="13" t="inlineStr">
        <is>
          <t>NOT SCORED</t>
        </is>
      </c>
      <c r="H108" s="9" t="inlineStr">
        <is>
          <t>NOT SCORED: switched off in this version (config) -- measured only. IL made 336,523 m vs net need 336,523 m (+0.0%)</t>
        </is>
      </c>
      <c r="I108" s="9" t="inlineStr">
        <is>
          <t>JK_CTP_PPDS.CTP_Master_BOM; JK_CTP_PPDS.CTP_Opening_WIP; plan files (latest_plan_file)</t>
        </is>
      </c>
    </row>
    <row r="109">
      <c r="A109" s="4" t="inlineStr">
        <is>
          <t>IL / calendering</t>
        </is>
      </c>
      <c r="B109" s="4" t="inlineStr">
        <is>
          <t>BR-38</t>
        </is>
      </c>
      <c r="C109" s="9" t="inlineStr">
        <is>
          <t>IL lot on its routed machine</t>
        </is>
      </c>
      <c r="D109" s="4" t="n">
        <v>349</v>
      </c>
      <c r="E109" s="4" t="n">
        <v>349</v>
      </c>
      <c r="F109" s="10" t="n">
        <v>100</v>
      </c>
      <c r="G109" s="12" t="inlineStr">
        <is>
          <t>PASS</t>
        </is>
      </c>
      <c r="H109" s="9" t="inlineStr"/>
      <c r="I109" s="9" t="inlineStr">
        <is>
          <t>JK_CTP_PPDS.CTP_Master_Routing</t>
        </is>
      </c>
    </row>
    <row r="110">
      <c r="A110" s="4" t="inlineStr">
        <is>
          <t>IL / calendering</t>
        </is>
      </c>
      <c r="B110" s="4" t="inlineStr">
        <is>
          <t>BR-39</t>
        </is>
      </c>
      <c r="C110" s="9" t="inlineStr">
        <is>
          <t>IL run time = metres / routing speed x eff (+-1 min)</t>
        </is>
      </c>
      <c r="D110" s="4" t="n">
        <v>349</v>
      </c>
      <c r="E110" s="4" t="n">
        <v>349</v>
      </c>
      <c r="F110" s="4" t="n"/>
      <c r="G110" s="16" t="inlineStr">
        <is>
          <t>NO DATA</t>
        </is>
      </c>
      <c r="H110" s="9" t="inlineStr">
        <is>
          <t>Expansion Work Out conversion: NO DATA (BOM quantity used)</t>
        </is>
      </c>
      <c r="I110" s="9" t="inlineStr">
        <is>
          <t>JK_CTP_PPDS.CTP_Master_Routing</t>
        </is>
      </c>
    </row>
    <row r="111">
      <c r="A111" s="4" t="inlineStr">
        <is>
          <t>IL / calendering</t>
        </is>
      </c>
      <c r="B111" s="4" t="inlineStr">
        <is>
          <t>BR-41</t>
        </is>
      </c>
      <c r="C111" s="9" t="inlineStr">
        <is>
          <t>RHC / pre-assembly day with no repeated type / compound-group change</t>
        </is>
      </c>
      <c r="D111" s="4" t="n">
        <v>31</v>
      </c>
      <c r="E111" s="4" t="n">
        <v>11</v>
      </c>
      <c r="F111" s="4" t="n"/>
      <c r="G111" s="13" t="inlineStr">
        <is>
          <t>NOT SCORED</t>
        </is>
      </c>
      <c r="H111" s="9" t="inlineStr">
        <is>
          <t>NOT SCORED: switched off in this version (config) -- measured only. 140 switches vs minimum 87</t>
        </is>
      </c>
      <c r="I111" s="9" t="inlineStr">
        <is>
          <t>JK_CTP_PPDS.CTP_Master_BOM; JK_CTP_PPDS.CTP_Master_ChangeoverMatrix</t>
        </is>
      </c>
    </row>
  </sheetData>
  <autoFilter ref="A1:I1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2026-10-13T11:16:53Z</dcterms:created>
  <dcterms:modified xmlns:dcterms="http://purl.org/dc/terms/" xmlns:xsi="http://www.w3.org/2001/XMLSchema-instance" xsi:type="dcterms:W3CDTF">2026-10-13T11:16:53Z</dcterms:modified>
</cp:coreProperties>
</file>